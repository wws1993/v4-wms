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__self\v4-wms\docs\"/>
    </mc:Choice>
  </mc:AlternateContent>
  <bookViews>
    <workbookView windowHeight="17655" activeTab="2"/>
  </bookViews>
  <sheets>
    <sheet name="使用说明" sheetId="1" r:id="rId1"/>
    <sheet name="进度总览" sheetId="2" r:id="rId2"/>
    <sheet name="能力明细" sheetId="3" r:id="rId3"/>
    <sheet name="页面对照" sheetId="4" r:id="rId4"/>
  </sheets>
  <definedNames>
    <definedName name="_xlnm.Print_Titles" localSheetId="0">使用说明!$1:$1</definedName>
    <definedName name="_xlnm.Print_Titles" localSheetId="2">能力明细!$1:$1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<sst xmlns="http://schemas.openxmlformats.org/spreadsheetml/2006/main" count="3669" uniqueCount="746">
  <si>
    <t>WMS 保税仓储管理系统 · 能力跟踪表</t>
  </si>
  <si>
    <t>对齐项目设计十一大模块 + 公共框架 + 部署交付；生成日期 2026-09-21。本表是开发、前后端对接与测试的进度源，填「能力明细」即可，总览自动汇总。</t>
  </si>
  <si>
    <t>一、工作表</t>
  </si>
  <si>
    <t>项</t>
  </si>
  <si>
    <t>说明</t>
  </si>
  <si>
    <t>使用说明</t>
  </si>
  <si>
    <t>状态口径、阶段算法、填写规则</t>
  </si>
  <si>
    <t>进度总览</t>
  </si>
  <si>
    <t>按轨道 / 模块 / 批次自动汇总，含完成率；勿手改带公式的单元格</t>
  </si>
  <si>
    <t>能力明细</t>
  </si>
  <si>
    <t>唯一填写入口。每行一条可独立验收的能力</t>
  </si>
  <si>
    <t>页面对照</t>
  </si>
  <si>
    <t>原型页面 ↔ 模块 ↔ 能力条数，便于评审走查</t>
  </si>
  <si>
    <t>二、六条进度轨道（从左到右）</t>
  </si>
  <si>
    <t>原型设计</t>
  </si>
  <si>
    <t>可交互 HTML 原型（wms/dist）是否覆盖该能力。0 期已完成的业务项已预填「已完成」</t>
  </si>
  <si>
    <t>UI设计</t>
  </si>
  <si>
    <t>UI设计.md 规范 + 原型视觉是否覆盖。已预填「已完成」</t>
  </si>
  <si>
    <t>前端开发</t>
  </si>
  <si>
    <t>正式 React + TypeScript 实现（不含 HTML 原型）</t>
  </si>
  <si>
    <t>后端开发</t>
  </si>
  <si>
    <t>正式 Java Spring Boot + Vastbase 实现</t>
  </si>
  <si>
    <t>前后端对接</t>
  </si>
  <si>
    <t>联调通过：字段对齐、鉴权、错误码、分页/导出可用</t>
  </si>
  <si>
    <t>测试</t>
  </si>
  <si>
    <t>按验收要点完成功能测试（含关键反向用例）并登记结果</t>
  </si>
  <si>
    <t>三、状态取值（下拉，勿自造词）</t>
  </si>
  <si>
    <t>未开始</t>
  </si>
  <si>
    <t>尚未投入该轨道</t>
  </si>
  <si>
    <t>进行中</t>
  </si>
  <si>
    <t>正在做</t>
  </si>
  <si>
    <t>已完成</t>
  </si>
  <si>
    <t>该轨道验收通过</t>
  </si>
  <si>
    <t>阻塞</t>
  </si>
  <si>
    <t>做不下去，必须填「阻塞原因」</t>
  </si>
  <si>
    <t>不适用</t>
  </si>
  <si>
    <t>该能力无此轨道（如纯后端的等保策略无 UI）</t>
  </si>
  <si>
    <t>四、「阶段」列（自动，勿手改）</t>
  </si>
  <si>
    <t>六轨都未开始</t>
  </si>
  <si>
    <t>原型中 / UI设计中</t>
  </si>
  <si>
    <t>仍在设计阶段</t>
  </si>
  <si>
    <t>待开发</t>
  </si>
  <si>
    <t>原型+UI 已完成（或不适用），正式开发未开工 ← 当前大部分能力处于此阶段</t>
  </si>
  <si>
    <t>开发中</t>
  </si>
  <si>
    <t>前端或后端已开工</t>
  </si>
  <si>
    <t>对接中</t>
  </si>
  <si>
    <t>前后端均完成（或无需），正在联调</t>
  </si>
  <si>
    <t>测试中</t>
  </si>
  <si>
    <t>联调完成，测试未完成</t>
  </si>
  <si>
    <t>六轨均为已完成或不适用</t>
  </si>
  <si>
    <t>任一轨道为阻塞</t>
  </si>
  <si>
    <t>五、填写规则</t>
  </si>
  <si>
    <t>谁填</t>
  </si>
  <si>
    <t>前端填 前端开发；后端填 后端开发；联调双方共同填 前后端对接；测试填 测试。负责人三列按人填写</t>
  </si>
  <si>
    <t>何时更新</t>
  </si>
  <si>
    <t>每条能力状态变化当日更新；每日站会看「进度总览」的阶段分布</t>
  </si>
  <si>
    <t>完成标准</t>
  </si>
  <si>
    <t>前端完成 = 页面/交互按 UI 规范可演示（可用 Mock）；后端完成 = 接口可测且写入库规则正确；对接完成 = 去掉 Mock 走真实接口；测试完成 = 验收要点打勾</t>
  </si>
  <si>
    <t>优先级</t>
  </si>
  <si>
    <t>P0 主路径/合同验收必须；P1 完整交付；P2 扩展预留（园区/ERP/生产端口）</t>
  </si>
  <si>
    <t>与合同节点</t>
  </si>
  <si>
    <t>D10 第一批基础数据权限；D20 仓储主流程；D26 生产关务；D30 测评移交；D45 初验；D55 终验</t>
  </si>
  <si>
    <t>六、当前基线（生成时）</t>
  </si>
  <si>
    <t>0 期</t>
  </si>
  <si>
    <t>HTML 原型与 UI 设计文档已覆盖业务模块，对应轨道预填「已完成」</t>
  </si>
  <si>
    <t>正式工程</t>
  </si>
  <si>
    <t>React / Java 尚未开工，前端、后端、对接、测试预填「未开始」，阶段为「待开发」</t>
  </si>
  <si>
    <t>例外</t>
  </si>
  <si>
    <t>工程骨架、等保策略、信创冒烟、接口治理、OCR 信创 POC、部署交付：原型/UI 为「不适用」</t>
  </si>
  <si>
    <t>待确认</t>
  </si>
  <si>
    <t>矿源备案「已核销」口径、关务对账口径、平面图现场确认 — 见明细「备注」列，确认后请改备注并继续开发</t>
  </si>
  <si>
    <t>条数</t>
  </si>
  <si>
    <t>当前清单共 153 条能力。能力本身增删时才重跑 docs/_gen_capability_tracker.py；日常只改「能力明细」状态，切勿覆盖已填进度</t>
  </si>
  <si>
    <t>进度总览（公式驱动，请勿在色块内手填）</t>
  </si>
  <si>
    <t>完成率分母不含「不适用」。阶段分布来自「能力明细」的自动「阶段」列。</t>
  </si>
  <si>
    <t>阶段分布</t>
  </si>
  <si>
    <t>按模块</t>
  </si>
  <si>
    <t>阶段</t>
  </si>
  <si>
    <t>占比</t>
  </si>
  <si>
    <t>模块</t>
  </si>
  <si>
    <t>能力数</t>
  </si>
  <si>
    <t>原型与 UI 已就绪，等待正式开发</t>
  </si>
  <si>
    <t>公共框架</t>
  </si>
  <si>
    <t>仓库管理</t>
  </si>
  <si>
    <t>前后端完成，正在联调</t>
  </si>
  <si>
    <t>堆位管理</t>
  </si>
  <si>
    <t>联调完成，测试进行中</t>
  </si>
  <si>
    <t>物料档案</t>
  </si>
  <si>
    <t>六轨均已完成或无需该轨</t>
  </si>
  <si>
    <t>矿源备案</t>
  </si>
  <si>
    <t>存在阻塞，见明细「阻塞原因」</t>
  </si>
  <si>
    <t>往来主体</t>
  </si>
  <si>
    <t>设计尚未开始</t>
  </si>
  <si>
    <t>保税账册</t>
  </si>
  <si>
    <t>原型中</t>
  </si>
  <si>
    <t>原型设计进行中</t>
  </si>
  <si>
    <t>系统设置</t>
  </si>
  <si>
    <t>UI设计中</t>
  </si>
  <si>
    <t>UI 设计进行中</t>
  </si>
  <si>
    <t>平面图设置</t>
  </si>
  <si>
    <t>整行均为不适用（少见）</t>
  </si>
  <si>
    <t>入库管理</t>
  </si>
  <si>
    <t>库内移库</t>
  </si>
  <si>
    <t>库存查询</t>
  </si>
  <si>
    <t>盘点管理</t>
  </si>
  <si>
    <t>库存预警</t>
  </si>
  <si>
    <t>出库管理</t>
  </si>
  <si>
    <t>生产完工</t>
  </si>
  <si>
    <t>关务保税</t>
  </si>
  <si>
    <t>OCR识别</t>
  </si>
  <si>
    <t>对外对接</t>
  </si>
  <si>
    <t>操作日志</t>
  </si>
  <si>
    <t>可视化驾驶舱</t>
  </si>
  <si>
    <t>部署交付</t>
  </si>
  <si>
    <t>合计</t>
  </si>
  <si>
    <t>提示：更新「能力明细」中 J–O 列状态后，本页数字与图表自动变化。P0 未完成不得宣称该批次可验收。</t>
  </si>
  <si>
    <t>按交付批次</t>
  </si>
  <si>
    <t>批次</t>
  </si>
  <si>
    <t>目标节点</t>
  </si>
  <si>
    <t>启动</t>
  </si>
  <si>
    <t>D5</t>
  </si>
  <si>
    <t>第一批</t>
  </si>
  <si>
    <t>D10</t>
  </si>
  <si>
    <t>第二批</t>
  </si>
  <si>
    <t>D20</t>
  </si>
  <si>
    <t>第三批</t>
  </si>
  <si>
    <t>D26</t>
  </si>
  <si>
    <t>第四批</t>
  </si>
  <si>
    <t>D30</t>
  </si>
  <si>
    <t>第五批</t>
  </si>
  <si>
    <t>D45–D55</t>
  </si>
  <si>
    <t>编号</t>
  </si>
  <si>
    <t>交付批次</t>
  </si>
  <si>
    <t>页面</t>
  </si>
  <si>
    <t>能力名称</t>
  </si>
  <si>
    <t>能力说明 / 验收要点</t>
  </si>
  <si>
    <t>关联接口</t>
  </si>
  <si>
    <t>前端负责人</t>
  </si>
  <si>
    <t>后端负责人</t>
  </si>
  <si>
    <t>测试负责人</t>
  </si>
  <si>
    <t>计划完成</t>
  </si>
  <si>
    <t>实际完成</t>
  </si>
  <si>
    <t>阻塞原因</t>
  </si>
  <si>
    <t>备注</t>
  </si>
  <si>
    <t>CAP-001</t>
  </si>
  <si>
    <t>工程</t>
  </si>
  <si>
    <t>需求基线确认</t>
  </si>
  <si>
    <t>输出需求确认单、流程说明、数据字典、权限矩阵、接口清单并双方签字</t>
  </si>
  <si>
    <t>—</t>
  </si>
  <si>
    <t>P0</t>
  </si>
  <si>
    <t/>
  </si>
  <si>
    <t>合同签订后 5 日内</t>
  </si>
  <si>
    <t>CAP-002</t>
  </si>
  <si>
    <t>信创环境规划</t>
  </si>
  <si>
    <t>确认 CPU 架构、JDK 版本、Vastbase 实例授权与运行基线</t>
  </si>
  <si>
    <t>CAP-003</t>
  </si>
  <si>
    <t>工程骨架可运行</t>
  </si>
  <si>
    <t>Java Spring Boot + Flyway（PG 方言）+ JWT；前端登录鉴权、布局与权限路由</t>
  </si>
  <si>
    <t>POST /api/auth/login</t>
  </si>
  <si>
    <t>CAP-004</t>
  </si>
  <si>
    <t>登录</t>
  </si>
  <si>
    <t>多角色登录</t>
  </si>
  <si>
    <t>仓管员 / 关务员 / 管理员登录；按注册角色进入对应默认页</t>
  </si>
  <si>
    <t>CAP-005</t>
  </si>
  <si>
    <t>登录态保持与退出</t>
  </si>
  <si>
    <t>session 保持；退出清除令牌；角色切换刷新菜单</t>
  </si>
  <si>
    <t>POST /api/auth/logout</t>
  </si>
  <si>
    <t>CAP-006</t>
  </si>
  <si>
    <t>全局布局</t>
  </si>
  <si>
    <t>三栏布局与导航</t>
  </si>
  <si>
    <t>左侧导航 + 顶栏 + 内容区；侧栏分组：概览 / 基础数据 / 仓储作业 / 生产与关务 / 系统</t>
  </si>
  <si>
    <t>CAP-007</t>
  </si>
  <si>
    <t>基础组件库</t>
  </si>
  <si>
    <t>Button / Card / Input / Select / Modal / Toast / Badge / Table / Tabs / Upload / Empty / Loader</t>
  </si>
  <si>
    <t>CAP-008</t>
  </si>
  <si>
    <t>统一响应与错误提示</t>
  </si>
  <si>
    <t>接口统一 {success,data,message}；校验失败、权限不足、网络错误可感知</t>
  </si>
  <si>
    <t>CAP-009</t>
  </si>
  <si>
    <t>权限</t>
  </si>
  <si>
    <t>角色权限矩阵</t>
  </si>
  <si>
    <t>仓管员：入出库/移库/盘点/库存查询；关务员菜单默认全开；管理员全量含档案与设置</t>
  </si>
  <si>
    <t>GET/PUT /api/roles/{id}/permissions</t>
  </si>
  <si>
    <t>CAP-010</t>
  </si>
  <si>
    <t>越权路由拦截</t>
  </si>
  <si>
    <t>前端藏菜单 + 后端接口级鉴权；无权限跳转默认页</t>
  </si>
  <si>
    <t>CAP-011</t>
  </si>
  <si>
    <t>海关专用账号审计标识</t>
  </si>
  <si>
    <t>关务员操作在审计日志中单独标识</t>
  </si>
  <si>
    <t>GET /api/audit-logs</t>
  </si>
  <si>
    <t>CAP-012</t>
  </si>
  <si>
    <t>等保基线</t>
  </si>
  <si>
    <t>密码策略</t>
  </si>
  <si>
    <t>强密码规则（长度/复杂度），前后端双重校验</t>
  </si>
  <si>
    <t>CAP-013</t>
  </si>
  <si>
    <t>登录失败锁定</t>
  </si>
  <si>
    <t>连续失败锁定账号/IP，可配置阈值与时长</t>
  </si>
  <si>
    <t>CAP-014</t>
  </si>
  <si>
    <t>会话超时</t>
  </si>
  <si>
    <t>空闲超时自动退出并提示重新登录</t>
  </si>
  <si>
    <t>CAP-015</t>
  </si>
  <si>
    <t>信创最小冒烟</t>
  </si>
  <si>
    <t>UOS Server + Vastbase 部署 Java 进程，完成登录 + 一条档案维护</t>
  </si>
  <si>
    <t>GET /api/health</t>
  </si>
  <si>
    <t>开发便利环境与验收环境双轨</t>
  </si>
  <si>
    <t>CAP-016</t>
  </si>
  <si>
    <t>仓库列表</t>
  </si>
  <si>
    <t>展示 1/2/4/5/6 仓及码头仓库；编号、库容、面积㎡、堆位数、占用率、状态</t>
  </si>
  <si>
    <t>GET /api/warehouses</t>
  </si>
  <si>
    <t>CAP-017</t>
  </si>
  <si>
    <t>仓库新建/编辑</t>
  </si>
  <si>
    <t>维护总库容与面积㎡；面积仅档案展示可编辑，不参与占用计算</t>
  </si>
  <si>
    <t>POST /api/warehouses</t>
  </si>
  <si>
    <t>CAP-018</t>
  </si>
  <si>
    <t>仓库启停</t>
  </si>
  <si>
    <t>停用仓库不参与作业分配，平面图可标停用仓</t>
  </si>
  <si>
    <t>P1</t>
  </si>
  <si>
    <t>CAP-019</t>
  </si>
  <si>
    <t>堆位列表（单仓）</t>
  </si>
  <si>
    <t>仅展示当前所选仓库（默认 1 仓）；编码、仓库、片区标识、网格、库容、状态</t>
  </si>
  <si>
    <t>GET /api/warehouses/stacks</t>
  </si>
  <si>
    <t>CAP-020</t>
  </si>
  <si>
    <t>堆位新建/编辑</t>
  </si>
  <si>
    <t>编码由仓库编号+堆位名称自动拼接（如 1#A1）只读；不展示网格字段</t>
  </si>
  <si>
    <t>POST /api/warehouses/stacks</t>
  </si>
  <si>
    <t>CAP-021</t>
  </si>
  <si>
    <t>档案字段收敛</t>
  </si>
  <si>
    <t>不展示报关单号、生产批次、占用率、查验状态</t>
  </si>
  <si>
    <t>CAP-022</t>
  </si>
  <si>
    <t>网格取自平面图</t>
  </si>
  <si>
    <t>rows/cols 由园区平面图该堆位占格计算；列表只读展示</t>
  </si>
  <si>
    <t>GET /api/floor-plans</t>
  </si>
  <si>
    <t>CAP-023</t>
  </si>
  <si>
    <t>片区标识三类</t>
  </si>
  <si>
    <t>仅原料区 / 待检区 / 成品区，随在库批次查验自动变更</t>
  </si>
  <si>
    <t>PUT /api/warehouses/stacks/{id}/area-label</t>
  </si>
  <si>
    <t>CAP-024</t>
  </si>
  <si>
    <t>查验完成改成品区</t>
  </si>
  <si>
    <t>待检区堆位执行查验完成后改为成品区</t>
  </si>
  <si>
    <t>CAP-025</t>
  </si>
  <si>
    <t>片区变更留痕</t>
  </si>
  <si>
    <t>片区标识变更写入操作日志（改前改后）</t>
  </si>
  <si>
    <t>CAP-026</t>
  </si>
  <si>
    <t>物料列表</t>
  </si>
  <si>
    <t>编码、名称、货物类型、类型、矿源</t>
  </si>
  <si>
    <t>GET /api/materials</t>
  </si>
  <si>
    <t>CAP-027</t>
  </si>
  <si>
    <t>新建/编辑仅基础信息</t>
  </si>
  <si>
    <t>仅编码、名称、货物类型、类型；报备矿填矿源。不含干湿重规则、默认账册、单证样例、原产国、品质参数、附件</t>
  </si>
  <si>
    <t>POST /api/materials</t>
  </si>
  <si>
    <t>CAP-028</t>
  </si>
  <si>
    <t>货物类型规则</t>
  </si>
  <si>
    <t>原料：达标矿/报备矿；成品一律混成品</t>
  </si>
  <si>
    <t>CAP-029</t>
  </si>
  <si>
    <t>物料导出 Excel</t>
  </si>
  <si>
    <t>导出编码/名称/货物类型/类型/矿源</t>
  </si>
  <si>
    <t>GET /api/materials/export</t>
  </si>
  <si>
    <t>CAP-030</t>
  </si>
  <si>
    <t>物料档案 / 矿源备案</t>
  </si>
  <si>
    <t>备案 CRUD 与附件</t>
  </si>
  <si>
    <t>矿山、原产国、备案数量、核销/剩余/用量%、附件；一矿源多期备案</t>
  </si>
  <si>
    <t>GET/POST /api/material-sources/filings</t>
  </si>
  <si>
    <t>CAP-031</t>
  </si>
  <si>
    <t>备案列表筛选</t>
  </si>
  <si>
    <t>按矿源、编号、状态、备案日期起止查询</t>
  </si>
  <si>
    <t>GET /api/material-sources/filings</t>
  </si>
  <si>
    <t>CAP-032</t>
  </si>
  <si>
    <t>点击编号查看票货</t>
  </si>
  <si>
    <t>该备案下全部票货：报关单号、生产批次号、委托方、重量、堆位、状态</t>
  </si>
  <si>
    <t>GET /api/material-sources/filings/{code}/lots</t>
  </si>
  <si>
    <t>待确认：详情「已核销」指生产消耗还是成品完整出库</t>
  </si>
  <si>
    <t>CAP-033</t>
  </si>
  <si>
    <t>备案列表导出</t>
  </si>
  <si>
    <t>矿源备案列表导出 Excel</t>
  </si>
  <si>
    <t>GET /api/material-sources/filings/export</t>
  </si>
  <si>
    <t>CAP-034</t>
  </si>
  <si>
    <t>票货导出</t>
  </si>
  <si>
    <t>备案下全部票货导出 Excel</t>
  </si>
  <si>
    <t>GET /api/material-sources/filings/{code}/lots/export</t>
  </si>
  <si>
    <t>CAP-035</t>
  </si>
  <si>
    <t>入库自动匹配备案号</t>
  </si>
  <si>
    <t>报备矿入库按矿源自动匹配当前有效且有剩余的备案号</t>
  </si>
  <si>
    <t>POST /api/inbound</t>
  </si>
  <si>
    <t>CAP-036</t>
  </si>
  <si>
    <t>干重扣减剩余量</t>
  </si>
  <si>
    <t>报备矿入库按干重扣减备案剩余（剩余−本次干重）</t>
  </si>
  <si>
    <t>CAP-037</t>
  </si>
  <si>
    <t>用量阈值预警</t>
  </si>
  <si>
    <t>用量达系统参数阈值（默认 80%）触发预警</t>
  </si>
  <si>
    <t>GET /api/inventory/alerts</t>
  </si>
  <si>
    <t>CAP-038</t>
  </si>
  <si>
    <t>关联生产批次号</t>
  </si>
  <si>
    <t>备案详情展示关联生产批次号</t>
  </si>
  <si>
    <t>CAP-039</t>
  </si>
  <si>
    <t>库存查询 / 本票详情</t>
  </si>
  <si>
    <t>本票成品去向</t>
  </si>
  <si>
    <t>原料本票详情增加成品页：产量、库存、出库</t>
  </si>
  <si>
    <t>GET /api/inventory/batches/{batchNo}</t>
  </si>
  <si>
    <t>CAP-040</t>
  </si>
  <si>
    <t>主体 CRUD</t>
  </si>
  <si>
    <t>委托方、物流账册主体手工维护；编码、名称、角色、电话、状态、来源；不含统一社会信用代码</t>
  </si>
  <si>
    <t>GET/POST /api/partners</t>
  </si>
  <si>
    <t>CAP-041</t>
  </si>
  <si>
    <t>委托方下拉</t>
  </si>
  <si>
    <t>五矿有色 / 广西金川 / 广西南国，贯穿出入库/移库/库存/生产</t>
  </si>
  <si>
    <t>GET /api/partners/consignors</t>
  </si>
  <si>
    <t>CAP-042</t>
  </si>
  <si>
    <t>流向企业自动建档</t>
  </si>
  <si>
    <t>出库报关单「流向企业」字段自动写入往来主体，无需手工新建</t>
  </si>
  <si>
    <t>POST /api/outbound</t>
  </si>
  <si>
    <t>CAP-043</t>
  </si>
  <si>
    <t>账册 CRUD</t>
  </si>
  <si>
    <t>编号、名称、经营单位、货值、报关单号、状态</t>
  </si>
  <si>
    <t>GET/POST /api/bonded-books</t>
  </si>
  <si>
    <t>CAP-044</t>
  </si>
  <si>
    <t>新旧账衔接</t>
  </si>
  <si>
    <t>新账须填旧账预警日期；旧账只出不进</t>
  </si>
  <si>
    <t>POST /api/bonded-books</t>
  </si>
  <si>
    <t>CAP-045</t>
  </si>
  <si>
    <t>到期票转入新账</t>
  </si>
  <si>
    <t>超过预警日后未出库票的入库数据转入新账</t>
  </si>
  <si>
    <t>CAP-046</t>
  </si>
  <si>
    <t>账册列表筛选</t>
  </si>
  <si>
    <t>关键字 + 旧账预警起止日期</t>
  </si>
  <si>
    <t>GET /api/bonded-books</t>
  </si>
  <si>
    <t>CAP-047</t>
  </si>
  <si>
    <t>点击编号查看票矿</t>
  </si>
  <si>
    <t>账册下全部出入库票矿</t>
  </si>
  <si>
    <t>GET /api/bonded-books/{code}/lots</t>
  </si>
  <si>
    <t>CAP-048</t>
  </si>
  <si>
    <t>票矿导出 Excel</t>
  </si>
  <si>
    <t>账册票矿导出</t>
  </si>
  <si>
    <t>GET /api/bonded-books/{code}/lots/export</t>
  </si>
  <si>
    <t>CAP-049</t>
  </si>
  <si>
    <t>系统设置 / 账号管理</t>
  </si>
  <si>
    <t>全站账号注册</t>
  </si>
  <si>
    <t>新建管理员/仓管员/关务员；列表无所属关区</t>
  </si>
  <si>
    <t>GET/POST /api/auth/users</t>
  </si>
  <si>
    <t>CAP-050</t>
  </si>
  <si>
    <t>系统设置 / 角色权限</t>
  </si>
  <si>
    <t>配置权限弹窗</t>
  </si>
  <si>
    <t>按菜单分组勾选可见模块，预勾角色默认权限，保存后侧栏同步</t>
  </si>
  <si>
    <t>CAP-051</t>
  </si>
  <si>
    <t>系统设置 / 系统参数</t>
  </si>
  <si>
    <t>库容预警参数</t>
  </si>
  <si>
    <t>片区占用达额定库容 70% 触发，可配置</t>
  </si>
  <si>
    <t>待列入 API：系统参数 GET/PUT</t>
  </si>
  <si>
    <t>CAP-052</t>
  </si>
  <si>
    <t>原料库龄参数</t>
  </si>
  <si>
    <t>原料在库超过 90 天触发，可配置</t>
  </si>
  <si>
    <t>CAP-053</t>
  </si>
  <si>
    <t>码头仓库预警参数</t>
  </si>
  <si>
    <t>码头仓库货品超期天数，默认 7 天</t>
  </si>
  <si>
    <t>CAP-054</t>
  </si>
  <si>
    <t>矿源备案用量预警参数</t>
  </si>
  <si>
    <t>用量百分比阈值，默认 80%</t>
  </si>
  <si>
    <t>CAP-055</t>
  </si>
  <si>
    <t>品质参数配置</t>
  </si>
  <si>
    <t>可新增/删减品质项；入库收货与 OCR 品质字段随配置同步；铜为必填</t>
  </si>
  <si>
    <t>CAP-056</t>
  </si>
  <si>
    <t>日志永久留存</t>
  </si>
  <si>
    <t>不提供年限配置；移除盘点差异自动生成等已废弃参数</t>
  </si>
  <si>
    <t>CAP-057</t>
  </si>
  <si>
    <t>系统设置 / 平面图设置</t>
  </si>
  <si>
    <t>园区画板与网格密度</t>
  </si>
  <si>
    <t>左画板右工具；网格密度为行×列，随保存写入 gridRows/gridCols</t>
  </si>
  <si>
    <t>GET/PUT /api/floor-plans</t>
  </si>
  <si>
    <t>0 期原型接口已通（Python），正式 Java 需重做</t>
  </si>
  <si>
    <t>CAP-058</t>
  </si>
  <si>
    <t>缩放与平移</t>
  </si>
  <si>
    <t>滚轮 1x–8x；右上角 −/%/＋；空格/中键/空白处拖拽平移；平移不改宽高</t>
  </si>
  <si>
    <t>CAP-059</t>
  </si>
  <si>
    <t>绘制园区对象</t>
  </si>
  <si>
    <t>5 个启用仓 + 停用仓 + 办公楼 + 道路/灌木铺贴；仓内嵌套生产线/门/堆位</t>
  </si>
  <si>
    <t>PUT /api/floor-plans</t>
  </si>
  <si>
    <t>CAP-060</t>
  </si>
  <si>
    <t>标注与默认填色</t>
  </si>
  <si>
    <t>仓号标在矩形下方居中；堆位名左下角不含仓号前缀、白底；仓库默认 #f8e4c5、门默认 #9ebce9；门置顶</t>
  </si>
  <si>
    <t>CAP-061</t>
  </si>
  <si>
    <t>编辑交互</t>
  </si>
  <si>
    <t>点选拖拽、四角缩放、网格吸附四边、Ctrl+Z/Y 撤销重做；松手贴边不重叠</t>
  </si>
  <si>
    <t>CAP-062</t>
  </si>
  <si>
    <t>生产区文字自适应</t>
  </si>
  <si>
    <t>生产线/功能区名称随块缩放，允许换行，窄条竖排</t>
  </si>
  <si>
    <t>CAP-063</t>
  </si>
  <si>
    <t>平面图保存读取</t>
  </si>
  <si>
    <t>园区键 park；短 JSON 回包；旧单仓接口兼容</t>
  </si>
  <si>
    <t>0 期原型接口已通（Python）</t>
  </si>
  <si>
    <t>CAP-064</t>
  </si>
  <si>
    <t>入库列表与筛选</t>
  </si>
  <si>
    <t>时间范围、货运方式、矿种筛选；状态暂存码头/待收货/已入库/混成品；无片区标识列</t>
  </si>
  <si>
    <t>GET /api/inbound</t>
  </si>
  <si>
    <t>CAP-065</t>
  </si>
  <si>
    <t>列表业务字段</t>
  </si>
  <si>
    <t>矿种、装运方式（集装箱/散货）、集装箱柜数、金额及币种（¥/$）</t>
  </si>
  <si>
    <t>CAP-066</t>
  </si>
  <si>
    <t>新建预约收货</t>
  </si>
  <si>
    <t>船名、提单号、报关单、核注清单、金额、矿种、装运方式、柜数、委托方；预约与到货不含五项有害元素</t>
  </si>
  <si>
    <t>CAP-067</t>
  </si>
  <si>
    <t>预定堆位搜索</t>
  </si>
  <si>
    <t>预定堆位移到存放位置上方，支持编码/仓名关键字搜索</t>
  </si>
  <si>
    <t>CAP-068</t>
  </si>
  <si>
    <t>圈选存放格子</t>
  </si>
  <si>
    <t>须选堆位并拖选/单击圈选存放格子，提交 stackCode + cells[{r,c}]</t>
  </si>
  <si>
    <t>CAP-069</t>
  </si>
  <si>
    <t>OCR 提单/报关单回填</t>
  </si>
  <si>
    <t>上传后回填船名、提单号、报关单号、核注清单号、金额币种、物料；可打开识别详情修正</t>
  </si>
  <si>
    <t>POST /api/ocr/recognize</t>
  </si>
  <si>
    <t>CAP-070</t>
  </si>
  <si>
    <t>到货收货登记</t>
  </si>
  <si>
    <t>到货确认，状态由暂存码头/待收货推进</t>
  </si>
  <si>
    <t>CAP-071</t>
  </si>
  <si>
    <t>称重干湿重</t>
  </si>
  <si>
    <t>录入湿重/干重/水分</t>
  </si>
  <si>
    <t>CAP-072</t>
  </si>
  <si>
    <t>OCR 重量单回填</t>
  </si>
  <si>
    <t>识别净湿重/干重/水分并回填</t>
  </si>
  <si>
    <t>CAP-073</t>
  </si>
  <si>
    <t>OCR 品质证书回填</t>
  </si>
  <si>
    <t>识别 Cu/Ag/Au/As/Pb/Cd/F/Hg，铜必填；字段随系统参数同步</t>
  </si>
  <si>
    <t>CAP-074</t>
  </si>
  <si>
    <t>保税账册匹配</t>
  </si>
  <si>
    <t>收货时匹配保税账册</t>
  </si>
  <si>
    <t>CAP-075</t>
  </si>
  <si>
    <t>上架写库存流水</t>
  </si>
  <si>
    <t>原料库存批次取报关单号；按片区分配堆位；禁止脱离单据改数</t>
  </si>
  <si>
    <t>CAP-076</t>
  </si>
  <si>
    <t>本票单证详情</t>
  </si>
  <si>
    <t>已入库票查看报关单、重量证书、品质证书及八项品质</t>
  </si>
  <si>
    <t>CAP-077</t>
  </si>
  <si>
    <t>移库列表筛选</t>
  </si>
  <si>
    <t>按委托方、场景、起止日期筛选；列含船名、柜数、起止到时；无操作人/详情</t>
  </si>
  <si>
    <t>GET /api/transfers</t>
  </si>
  <si>
    <t>CAP-078</t>
  </si>
  <si>
    <t>先选堆位再选批次</t>
  </si>
  <si>
    <t>新建移库先选原堆位再选矿批次</t>
  </si>
  <si>
    <t>POST /api/transfers</t>
  </si>
  <si>
    <t>CAP-079</t>
  </si>
  <si>
    <t>批次信息只读带出</t>
  </si>
  <si>
    <t>委托方/报关单号/生产批次/物料/船名/柜数以表格只读展示</t>
  </si>
  <si>
    <t>CAP-080</t>
  </si>
  <si>
    <t>整票移位</t>
  </si>
  <si>
    <t>整票从原堆位迁到目标堆位</t>
  </si>
  <si>
    <t>CAP-081</t>
  </si>
  <si>
    <t>拆票移位</t>
  </si>
  <si>
    <t>按重量拆分移位，原票剩余与新票并存</t>
  </si>
  <si>
    <t>CAP-082</t>
  </si>
  <si>
    <t>批量移库跨仓</t>
  </si>
  <si>
    <t>可勾选全部仓库矿批次；按仓库/原堆位/委托方/关键字查询后提交；每票一条不合并</t>
  </si>
  <si>
    <t>POST /api/transfers/batch</t>
  </si>
  <si>
    <t>CAP-083</t>
  </si>
  <si>
    <t>移库时间精确到时</t>
  </si>
  <si>
    <t>起止到时，不含分</t>
  </si>
  <si>
    <t>CAP-084</t>
  </si>
  <si>
    <t>移库事务库存更新</t>
  </si>
  <si>
    <t>同一事务扣减原堆位、增加目标堆位；失败整体回滚；目标片区随在库批次状态更新</t>
  </si>
  <si>
    <t>CAP-085</t>
  </si>
  <si>
    <t>多维查询</t>
  </si>
  <si>
    <t>矿源/账册/原料成品/堆位/片区标识/时间；列表不含类型列</t>
  </si>
  <si>
    <t>GET /api/inventory</t>
  </si>
  <si>
    <t>CAP-086</t>
  </si>
  <si>
    <t>时间范围到时</t>
  </si>
  <si>
    <t>本月，或自定义起止精确到时（如 2026/8/01/8时–2026/8/2/16时）</t>
  </si>
  <si>
    <t>CAP-087</t>
  </si>
  <si>
    <t>货物类型与空值规则</t>
  </si>
  <si>
    <t>原料达标矿/报备矿、成品混成品；成品原产国为 —；已出库堆位为 —</t>
  </si>
  <si>
    <t>CAP-088</t>
  </si>
  <si>
    <t>本票品质八项</t>
  </si>
  <si>
    <t>Cu/Ag/Au/As/Pb/Cd/F/Hg，品质属于上架后本票库存</t>
  </si>
  <si>
    <t>CAP-089</t>
  </si>
  <si>
    <t>原料本票详情</t>
  </si>
  <si>
    <t>报关单、重量证书、品质证书 + 成品去向（产量/库存/出库）</t>
  </si>
  <si>
    <t>CAP-090</t>
  </si>
  <si>
    <t>成品本票详情</t>
  </si>
  <si>
    <t>出库报关单、品质证书；未出库时出库报关单为空</t>
  </si>
  <si>
    <t>CAP-091</t>
  </si>
  <si>
    <t>干湿重重量台账</t>
  </si>
  <si>
    <t>按报关单号或生产批次号穿透业务流水；出库行含流向企业</t>
  </si>
  <si>
    <t>GET /api/inventory/batches/{batchNo}/ledger</t>
  </si>
  <si>
    <t>CAP-092</t>
  </si>
  <si>
    <t>盘点列表</t>
  </si>
  <si>
    <t>盘点单列表，无类型字段</t>
  </si>
  <si>
    <t>GET /api/stocktakes</t>
  </si>
  <si>
    <t>CAP-093</t>
  </si>
  <si>
    <t>新建盘点</t>
  </si>
  <si>
    <t>范围可多选仓库与堆位；可上传附件；不回写库存、不生成账实差异</t>
  </si>
  <si>
    <t>POST /api/stocktakes</t>
  </si>
  <si>
    <t>CAP-094</t>
  </si>
  <si>
    <t>月度在库导出</t>
  </si>
  <si>
    <t>按月份导出各委托方在库湿/干重、堆位、货物类型、提单号、报关单号（月末快照）</t>
  </si>
  <si>
    <t>GET /api/stocktakes/onhand-export</t>
  </si>
  <si>
    <t>CAP-095</t>
  </si>
  <si>
    <t>库容预警</t>
  </si>
  <si>
    <t>片区占用达额定库容 70% 触发，可跳转业务页</t>
  </si>
  <si>
    <t>CAP-096</t>
  </si>
  <si>
    <t>原料库龄预警</t>
  </si>
  <si>
    <t>原料在库超过 90 天触发</t>
  </si>
  <si>
    <t>CAP-097</t>
  </si>
  <si>
    <t>码头仓库超期预警</t>
  </si>
  <si>
    <t>码头仓库货品超过参数天数（默认 7）触发</t>
  </si>
  <si>
    <t>CAP-098</t>
  </si>
  <si>
    <t>账册预警转入</t>
  </si>
  <si>
    <t>旧账预警日后未出库票转入新账的预警展示</t>
  </si>
  <si>
    <t>CAP-099</t>
  </si>
  <si>
    <t>出库列表筛选</t>
  </si>
  <si>
    <t>按时间范围筛选；列含消费使用单位、报关单金额、流向企业</t>
  </si>
  <si>
    <t>GET /api/outbound</t>
  </si>
  <si>
    <t>CAP-100</t>
  </si>
  <si>
    <t>新建出库单</t>
  </si>
  <si>
    <t>报关单号、核注清单、流向企业、消费使用单位、出库时间、重量、报关单金额、备注选填</t>
  </si>
  <si>
    <t>CAP-101</t>
  </si>
  <si>
    <t>OCR 出库报关单</t>
  </si>
  <si>
    <t>上传出库报关单回填报关单号/核注清单号/流向企业/消费使用单位/重量/金额</t>
  </si>
  <si>
    <t>CAP-102</t>
  </si>
  <si>
    <t>OCR 字段修正留痕</t>
  </si>
  <si>
    <t>全部识别字段可手工修正，写入操作日志（改前改后）</t>
  </si>
  <si>
    <t>CAP-103</t>
  </si>
  <si>
    <t>出库审核</t>
  </si>
  <si>
    <t>订单审核通过后方可执行</t>
  </si>
  <si>
    <t>CAP-104</t>
  </si>
  <si>
    <t>出库完成</t>
  </si>
  <si>
    <t>已审核单据可单次完成并更新出库/完成时间</t>
  </si>
  <si>
    <t>CAP-105</t>
  </si>
  <si>
    <t>出库扣减库存</t>
  </si>
  <si>
    <t>按报关单号或生产批次号扣减；余额由已审核流水汇总</t>
  </si>
  <si>
    <t>CAP-106</t>
  </si>
  <si>
    <t>生产/完工</t>
  </si>
  <si>
    <t>投料/加工合并列表</t>
  </si>
  <si>
    <t>投料出库与加工过程同一列表；可按委托方、时间范围筛选</t>
  </si>
  <si>
    <t>GET /api/production</t>
  </si>
  <si>
    <t>CAP-107</t>
  </si>
  <si>
    <t>投料出库 1:N</t>
  </si>
  <si>
    <t>按生产批次号投料；同一生产批次号可勾选多个报关单号矿物；可用量校验</t>
  </si>
  <si>
    <t>POST /api/production</t>
  </si>
  <si>
    <t>CAP-108</t>
  </si>
  <si>
    <t>投料记录出库报关单号</t>
  </si>
  <si>
    <t>列表含出库报关单号；矿物按达标矿/报备矿展示</t>
  </si>
  <si>
    <t>CAP-109</t>
  </si>
  <si>
    <t>投料筛选与详情</t>
  </si>
  <si>
    <t>弹窗可按报关单号、物料、来源国家、堆位筛选；详情展示物料、船名/航次、提单号、来源国家</t>
  </si>
  <si>
    <t>GET /api/production/{prodBatchNo}</t>
  </si>
  <si>
    <t>CAP-110</t>
  </si>
  <si>
    <t>加工过程登记</t>
  </si>
  <si>
    <t>工序、时间、操作人、异常说明；展示该生产批次下全部报关单号</t>
  </si>
  <si>
    <t>CAP-111</t>
  </si>
  <si>
    <t>完工入库仅待检区</t>
  </si>
  <si>
    <t>目标堆位只允许待检区；成品库存批次即该生产批次号</t>
  </si>
  <si>
    <t>CAP-112</t>
  </si>
  <si>
    <t>谱系追溯</t>
  </si>
  <si>
    <t>成品可追溯至各报关单号矿物（1:N）</t>
  </si>
  <si>
    <t>CAP-113</t>
  </si>
  <si>
    <t>消耗产出台账穿透</t>
  </si>
  <si>
    <t>原料消耗/成品产出自动汇总，支持穿透到单据</t>
  </si>
  <si>
    <t>CAP-114</t>
  </si>
  <si>
    <t>关务专用操作界面</t>
  </si>
  <si>
    <t>关务员权限隔离入口；海关账号在审计中单独标识</t>
  </si>
  <si>
    <t>GET /api/customs/reconcile</t>
  </si>
  <si>
    <t>CAP-115</t>
  </si>
  <si>
    <t>账实自动对账</t>
  </si>
  <si>
    <t>账册库存 vs WMS 账面自动对账（盘点不参与调账）</t>
  </si>
  <si>
    <t>待确认：对账口径（本系统内比对是否会产生差异）</t>
  </si>
  <si>
    <t>CAP-116</t>
  </si>
  <si>
    <t>差异清单穿透</t>
  </si>
  <si>
    <t>从差异汇总穿透至核注清单、报关单号、生产批次号、入出库单、生产记录</t>
  </si>
  <si>
    <t>GET /api/customs/reconcile/{id}/details</t>
  </si>
  <si>
    <t>CAP-117</t>
  </si>
  <si>
    <t>对账报表导出</t>
  </si>
  <si>
    <t>差异报表导出 Excel</t>
  </si>
  <si>
    <t>CAP-118</t>
  </si>
  <si>
    <t>联网申报预留</t>
  </si>
  <si>
    <t>受控鉴权、回执归档；对端未就绪时交付样例报文与待办</t>
  </si>
  <si>
    <t>POST /api/customs/declarations</t>
  </si>
  <si>
    <t>CAP-119</t>
  </si>
  <si>
    <t>电子账册核销预留</t>
  </si>
  <si>
    <t>电子账册核销端口预留</t>
  </si>
  <si>
    <t>POST /api/customs/bonded-books/write-off</t>
  </si>
  <si>
    <t>CAP-120</t>
  </si>
  <si>
    <t>OCR 任务中心</t>
  </si>
  <si>
    <t>报关单（入/出）/提单/品质单/重量单任务列表与状态</t>
  </si>
  <si>
    <t>CAP-121</t>
  </si>
  <si>
    <t>报关单识别</t>
  </si>
  <si>
    <t>入库/出库报关单结构化字段回填</t>
  </si>
  <si>
    <t>CAP-122</t>
  </si>
  <si>
    <t>提单识别</t>
  </si>
  <si>
    <t>船名、提单号等回填</t>
  </si>
  <si>
    <t>CAP-123</t>
  </si>
  <si>
    <t>品质单识别</t>
  </si>
  <si>
    <t>八项品质与证书号回填</t>
  </si>
  <si>
    <t>CAP-124</t>
  </si>
  <si>
    <t>重量单识别</t>
  </si>
  <si>
    <t>湿重/干重/水分回填</t>
  </si>
  <si>
    <t>CAP-125</t>
  </si>
  <si>
    <t>人工修正与归档</t>
  </si>
  <si>
    <t>全部识别字段可修正；原图/识别值/修正痕迹可查；附件归档</t>
  </si>
  <si>
    <t>CAP-126</t>
  </si>
  <si>
    <t>OCR 信创 POC 冻结</t>
  </si>
  <si>
    <t>UOS + 目标 CPU/JDK 验证识别组件；无包则换厂商或远程识别（过安全评估）</t>
  </si>
  <si>
    <t>D26 前冻结厂商/部署方式</t>
  </si>
  <si>
    <t>CAP-127</t>
  </si>
  <si>
    <t>对接配置页</t>
  </si>
  <si>
    <t>端口清单、启用开关、字段映射入口</t>
  </si>
  <si>
    <t>/api/integrations/*</t>
  </si>
  <si>
    <t>CAP-128</t>
  </si>
  <si>
    <t>海关端口（必预留）</t>
  </si>
  <si>
    <t>单一窗口/联网申报、回执与核销状态；样例报文可调通</t>
  </si>
  <si>
    <t>/api/integrations/customs/*</t>
  </si>
  <si>
    <t>CAP-129</t>
  </si>
  <si>
    <t>物流端口（必预留）</t>
  </si>
  <si>
    <t>提单、船名、到货等协同</t>
  </si>
  <si>
    <t>/api/integrations/logistics/*</t>
  </si>
  <si>
    <t>CAP-130</t>
  </si>
  <si>
    <t>园区监管端口（扩展）</t>
  </si>
  <si>
    <t>监管数据上报预留</t>
  </si>
  <si>
    <t>/api/integrations/park/*</t>
  </si>
  <si>
    <t>P2</t>
  </si>
  <si>
    <t>CAP-131</t>
  </si>
  <si>
    <t>企业 ERP 端口（扩展）</t>
  </si>
  <si>
    <t>主数据/单据同步预留</t>
  </si>
  <si>
    <t>/api/integrations/erp/*</t>
  </si>
  <si>
    <t>CAP-132</t>
  </si>
  <si>
    <t>生产系统端口（扩展）</t>
  </si>
  <si>
    <t>投料/完工数据协同预留</t>
  </si>
  <si>
    <t>/api/integrations/mes/*</t>
  </si>
  <si>
    <t>CAP-133</t>
  </si>
  <si>
    <t>接口治理</t>
  </si>
  <si>
    <t>白名单、HTTPS/专线、令牌/证书、幂等键、重试队列、调用日志</t>
  </si>
  <si>
    <t>CAP-134</t>
  </si>
  <si>
    <t>日志列表与筛选</t>
  </si>
  <si>
    <t>时间段、模块快捷标签、操作人、业务单号、报关单号、生产批次</t>
  </si>
  <si>
    <t>CAP-135</t>
  </si>
  <si>
    <t>审计详情</t>
  </si>
  <si>
    <t>操作人、时间、对象、内容、改前改后、来源地址、业务单号；关务账号标识</t>
  </si>
  <si>
    <t>GET /api/audit-logs/{id}</t>
  </si>
  <si>
    <t>CAP-136</t>
  </si>
  <si>
    <t>关键操作全覆盖</t>
  </si>
  <si>
    <t>片区变更、OCR 修正、移库、入库、加工登记、权限变更、账号操作均留痕</t>
  </si>
  <si>
    <t>CAP-137</t>
  </si>
  <si>
    <t>科技风 HUD 布局</t>
  </si>
  <si>
    <t>深色驾驶舱；KPI 六卡：原料湿/干吨、成品干/湿吨、今日入库、今日出库、待检、预警</t>
  </si>
  <si>
    <t>GET /api/dashboard/cockpit</t>
  </si>
  <si>
    <t>CAP-138</t>
  </si>
  <si>
    <t>整园平面图</t>
  </si>
  <si>
    <t>默认整园拼接 5 仓；堆位格子叠加在库货物与入库预约；填色与平面图设置一致</t>
  </si>
  <si>
    <t>CAP-139</t>
  </si>
  <si>
    <t>平面图加载态</t>
  </si>
  <si>
    <t>远程数据返回前工业风扫描，至少 2 秒，不先闪默认图</t>
  </si>
  <si>
    <t>CAP-140</t>
  </si>
  <si>
    <t>卫星图开关</t>
  </si>
  <si>
    <t>航拍屋面/堆场风格与平面填色切换</t>
  </si>
  <si>
    <t>CAP-141</t>
  </si>
  <si>
    <t>仓/堆位下钻</t>
  </si>
  <si>
    <t>点击仓库或堆位镜头放大仅绘该仓；左上角回退带动画；放大后点堆位进管理、点矿物进库存</t>
  </si>
  <si>
    <t>CAP-142</t>
  </si>
  <si>
    <t>矿物货主分色</t>
  </si>
  <si>
    <t>南国铜业绿、五矿有色黄、广西金川蓝；达标浅、报备深、混成品灰；预约格青色描边</t>
  </si>
  <si>
    <t>CAP-143</t>
  </si>
  <si>
    <t>入出库趋势</t>
  </si>
  <si>
    <t>近 7 日入库湿吨 / 出库湿吨</t>
  </si>
  <si>
    <t>CAP-144</t>
  </si>
  <si>
    <t>作业链路滚动</t>
  </si>
  <si>
    <t>加高日志滚动；时间 yyyy-mm-dd HH时；悬停暂停</t>
  </si>
  <si>
    <t>CAP-145</t>
  </si>
  <si>
    <t>生产数据卡片</t>
  </si>
  <si>
    <t>批次号、总量、日期/预计完工、累计重量；点击下钻生产页</t>
  </si>
  <si>
    <t>CAP-146</t>
  </si>
  <si>
    <t>仓库使用分布</t>
  </si>
  <si>
    <t>各仓占用进度条，无饼图</t>
  </si>
  <si>
    <t>CAP-147</t>
  </si>
  <si>
    <t>预警滚动与下钻</t>
  </si>
  <si>
    <t>底栏预警无缝循环、悬停暂停；KPI/预警/指标可下钻至报关单号/生产批次号/单据/日志</t>
  </si>
  <si>
    <t>CAP-148</t>
  </si>
  <si>
    <t>D45</t>
  </si>
  <si>
    <t>部署</t>
  </si>
  <si>
    <t>信创环境全量部署</t>
  </si>
  <si>
    <t>Nginx + Java + Vastbase + systemd；网络/账号/日志/监控/备份</t>
  </si>
  <si>
    <t>CAP-149</t>
  </si>
  <si>
    <t>对接联调</t>
  </si>
  <si>
    <t>海关/物流真联调或待办清单</t>
  </si>
  <si>
    <t>条件未就绪则提交配置说明、样例报文、待办清单</t>
  </si>
  <si>
    <t>/api/integrations/customs|logistics</t>
  </si>
  <si>
    <t>CAP-150</t>
  </si>
  <si>
    <t>验收</t>
  </si>
  <si>
    <t>上线初验</t>
  </si>
  <si>
    <t>核心链路无阻断、库存计算正确、权限审计有效、备份任务运行</t>
  </si>
  <si>
    <t>CAP-151</t>
  </si>
  <si>
    <t>D52</t>
  </si>
  <si>
    <t>培训</t>
  </si>
  <si>
    <t>分岗位培训考核</t>
  </si>
  <si>
    <t>管理员/仓管/关务/运维实操 ≥80 分</t>
  </si>
  <si>
    <t>CAP-152</t>
  </si>
  <si>
    <t>运维</t>
  </si>
  <si>
    <t>备份恢复演练</t>
  </si>
  <si>
    <t>记录 RPO/RTO，纳入交付</t>
  </si>
  <si>
    <t>CAP-153</t>
  </si>
  <si>
    <t>D55</t>
  </si>
  <si>
    <t>竣工终验与资料移交</t>
  </si>
  <si>
    <t>部署手册、运维手册、接口文档、权限矩阵、等保材料齐套</t>
  </si>
  <si>
    <t>原型页面对照（便于评审走查与前后端分文件）</t>
  </si>
  <si>
    <t>导航分组</t>
  </si>
  <si>
    <t>页面 ID</t>
  </si>
  <si>
    <t>页面名称</t>
  </si>
  <si>
    <t>对应模块</t>
  </si>
  <si>
    <t>能力条数</t>
  </si>
  <si>
    <t>主要接口</t>
  </si>
  <si>
    <t>概览</t>
  </si>
  <si>
    <t>dashboard</t>
  </si>
  <si>
    <t>GET /api/dashboard/cockpit；GET /api/floor-plans</t>
  </si>
  <si>
    <t>基础数据</t>
  </si>
  <si>
    <t>warehouses</t>
  </si>
  <si>
    <t>GET/POST /api/warehouses</t>
  </si>
  <si>
    <t>stacks</t>
  </si>
  <si>
    <t>GET/POST /api/warehouses/stacks；片区 PUT .../area-label</t>
  </si>
  <si>
    <t>materials</t>
  </si>
  <si>
    <t>物料档案、矿源备案</t>
  </si>
  <si>
    <t>GET/POST /api/materials；/api/material-sources/filings</t>
  </si>
  <si>
    <t>partners</t>
  </si>
  <si>
    <t>bonded</t>
  </si>
  <si>
    <t>settings</t>
  </si>
  <si>
    <t>系统设置（账号/角色/参数/平面图）</t>
  </si>
  <si>
    <t>系统设置、平面图设置、公共框架</t>
  </si>
  <si>
    <t>GET/POST /api/auth/users；roles；floor-plans</t>
  </si>
  <si>
    <t>仓储作业</t>
  </si>
  <si>
    <t>inbound</t>
  </si>
  <si>
    <t>GET/POST /api/inbound；POST /api/ocr/recognize</t>
  </si>
  <si>
    <t>transfer</t>
  </si>
  <si>
    <t>GET/POST /api/transfers；POST /api/transfers/batch</t>
  </si>
  <si>
    <t>inventory</t>
  </si>
  <si>
    <t>GET /api/inventory；batches/{batchNo}；ledger</t>
  </si>
  <si>
    <t>stocktake</t>
  </si>
  <si>
    <t>GET/POST /api/stocktakes；onhand-export</t>
  </si>
  <si>
    <t>alert</t>
  </si>
  <si>
    <t>outbound</t>
  </si>
  <si>
    <t>GET/POST /api/outbound</t>
  </si>
  <si>
    <t>生产与关务</t>
  </si>
  <si>
    <t>production</t>
  </si>
  <si>
    <t>GET/POST /api/production</t>
  </si>
  <si>
    <t>customs</t>
  </si>
  <si>
    <t>ocr</t>
  </si>
  <si>
    <t>系统</t>
  </si>
  <si>
    <t>integration</t>
  </si>
  <si>
    <t>audit</t>
  </si>
  <si>
    <t>login</t>
  </si>
  <si>
    <t>登录页</t>
  </si>
  <si>
    <t>工程 / 信创 / 部署（无独立页面）</t>
  </si>
  <si>
    <t>公共框架、部署交付</t>
  </si>
  <si>
    <t>健康检查 / 部署脚本</t>
  </si>
  <si>
    <t>走查建议：按本表页面顺序打开 wms/dist/index.html，对照「能力明细」中该模块全部 P0 项。关务员角色应能看到全部菜单；仓管员仅仓储作业相关。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</si>
</sst>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b/>
      <sz val="18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1A2332"/>
      <name val="微软雅黑"/>
      <charset val="134"/>
    </font>
    <font>
      <b/>
      <sz val="10"/>
      <color rgb="FF1A2332"/>
      <name val="微软雅黑"/>
      <charset val="134"/>
    </font>
    <font>
      <sz val="9"/>
      <color rgb="FF5A6A7E"/>
      <name val="微软雅黑"/>
      <charset val="134"/>
    </font>
    <font>
      <b/>
      <sz val="10"/>
      <color rgb="FFFFFFFF"/>
      <name val="微软雅黑"/>
      <charset val="134"/>
    </font>
    <font>
      <b/>
      <sz val="20"/>
      <color rgb="FF1B4F8A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D2B4A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E8EEF6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3F2E9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7F1FB"/>
        <bgColor indexed="64"/>
      </patternFill>
    </fill>
    <fill>
      <patternFill patternType="solid">
        <fgColor rgb="FFF3E8F7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9" fontId="7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/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0" fillId="3" borderId="0" xfId="0" applyFill="1"/>
    <xf numFmtId="0" fontId="0" fillId="4" borderId="1" xfId="0" applyFill="1" applyBorder="1"/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微软雅黑"/>
        <scheme val="none"/>
        <b val="1"/>
        <sz val="10"/>
        <color rgb="FF1B4F8A"/>
      </font>
      <fill>
        <patternFill patternType="solid">
          <fgColor rgb="FFE7F1FB"/>
        </patternFill>
      </fill>
    </dxf>
    <dxf>
      <font>
        <name val="微软雅黑"/>
        <scheme val="none"/>
        <b val="1"/>
        <sz val="10"/>
        <color rgb="FFC47A12"/>
      </font>
      <fill>
        <patternFill patternType="solid">
          <fgColor rgb="FFFFF4D6"/>
        </patternFill>
      </fill>
    </dxf>
    <dxf>
      <font>
        <name val="微软雅黑"/>
        <scheme val="none"/>
        <b val="1"/>
        <sz val="10"/>
        <color rgb="FF6B3FA0"/>
      </font>
      <fill>
        <patternFill patternType="solid">
          <fgColor rgb="FFF3E8F7"/>
        </patternFill>
      </fill>
    </dxf>
    <dxf>
      <font>
        <name val="微软雅黑"/>
        <scheme val="none"/>
        <b val="1"/>
        <sz val="10"/>
        <color rgb="FF2F80C4"/>
      </font>
      <fill>
        <patternFill patternType="solid">
          <fgColor rgb="FFD6F0FF"/>
        </patternFill>
      </fill>
    </dxf>
    <dxf>
      <font>
        <name val="微软雅黑"/>
        <scheme val="none"/>
        <b val="1"/>
        <sz val="10"/>
        <color rgb="FF2E7D4F"/>
      </font>
      <fill>
        <patternFill patternType="solid">
          <fgColor rgb="FFE3F2E9"/>
        </patternFill>
      </fill>
    </dxf>
    <dxf>
      <font>
        <name val="微软雅黑"/>
        <scheme val="none"/>
        <b val="1"/>
        <sz val="10"/>
        <color rgb="FFB42318"/>
      </font>
      <fill>
        <patternFill patternType="solid">
          <fgColor rgb="FFFDECEA"/>
        </patternFill>
      </fill>
    </dxf>
    <dxf>
      <font>
        <name val="微软雅黑"/>
        <scheme val="none"/>
        <sz val="10"/>
        <color rgb="FF5A6A7E"/>
      </font>
      <fill>
        <patternFill patternType="solid">
          <fgColor rgb="FFF3F5F8"/>
        </patternFill>
      </fill>
    </dxf>
    <dxf>
      <font>
        <name val="微软雅黑"/>
        <scheme val="none"/>
        <sz val="10"/>
        <color rgb="FFC47A12"/>
      </font>
      <fill>
        <patternFill patternType="solid">
          <fgColor rgb="FFFFF4D6"/>
        </patternFill>
      </fill>
    </dxf>
    <dxf>
      <font>
        <name val="微软雅黑"/>
        <scheme val="none"/>
        <sz val="10"/>
        <color rgb="FF2F80C4"/>
      </font>
      <fill>
        <patternFill patternType="solid">
          <fgColor rgb="FFEEF3F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各模块阶段（待开发 / 开发中 / 对接中 / 测试中 / 已完成）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进度总览!$H$9</c:f>
              <c:strCache>
                <c:ptCount val="1"/>
                <c:pt idx="0">
                  <c:v>待开发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进度总览!$F$10:$F$31</c:f>
              <c:strCache>
                <c:ptCount val="22"/>
                <c:pt idx="0">
                  <c:v>公共框架</c:v>
                </c:pt>
                <c:pt idx="1">
                  <c:v>仓库管理</c:v>
                </c:pt>
                <c:pt idx="2">
                  <c:v>堆位管理</c:v>
                </c:pt>
                <c:pt idx="3">
                  <c:v>物料档案</c:v>
                </c:pt>
                <c:pt idx="4">
                  <c:v>矿源备案</c:v>
                </c:pt>
                <c:pt idx="5">
                  <c:v>往来主体</c:v>
                </c:pt>
                <c:pt idx="6">
                  <c:v>保税账册</c:v>
                </c:pt>
                <c:pt idx="7">
                  <c:v>系统设置</c:v>
                </c:pt>
                <c:pt idx="8">
                  <c:v>平面图设置</c:v>
                </c:pt>
                <c:pt idx="9">
                  <c:v>入库管理</c:v>
                </c:pt>
                <c:pt idx="10">
                  <c:v>库内移库</c:v>
                </c:pt>
                <c:pt idx="11">
                  <c:v>库存查询</c:v>
                </c:pt>
                <c:pt idx="12">
                  <c:v>盘点管理</c:v>
                </c:pt>
                <c:pt idx="13">
                  <c:v>库存预警</c:v>
                </c:pt>
                <c:pt idx="14">
                  <c:v>出库管理</c:v>
                </c:pt>
                <c:pt idx="15">
                  <c:v>生产完工</c:v>
                </c:pt>
                <c:pt idx="16">
                  <c:v>关务保税</c:v>
                </c:pt>
                <c:pt idx="17">
                  <c:v>OCR识别</c:v>
                </c:pt>
                <c:pt idx="18">
                  <c:v>对外对接</c:v>
                </c:pt>
                <c:pt idx="19">
                  <c:v>操作日志</c:v>
                </c:pt>
                <c:pt idx="20">
                  <c:v>可视化驾驶舱</c:v>
                </c:pt>
                <c:pt idx="21">
                  <c:v>部署交付</c:v>
                </c:pt>
              </c:strCache>
            </c:strRef>
          </c:cat>
          <c:val>
            <c:numRef>
              <c:f>进度总览!$H$10:$H$31</c:f>
              <c:numCache>
                <c:formatCode>General</c:formatCode>
                <c:ptCount val="22"/>
                <c:pt idx="0">
                  <c:v>13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10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13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3</c:v>
                </c:pt>
                <c:pt idx="20">
                  <c:v>11</c:v>
                </c:pt>
                <c:pt idx="21">
                  <c:v>6</c:v>
                </c:pt>
              </c:numCache>
            </c:numRef>
          </c:val>
        </c:ser>
        <c:ser>
          <c:idx val="1"/>
          <c:order val="1"/>
          <c:tx>
            <c:strRef>
              <c:f>进度总览!$I$9</c:f>
              <c:strCache>
                <c:ptCount val="1"/>
                <c:pt idx="0">
                  <c:v>开发中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进度总览!$F$10:$F$31</c:f>
              <c:strCache>
                <c:ptCount val="22"/>
                <c:pt idx="0">
                  <c:v>公共框架</c:v>
                </c:pt>
                <c:pt idx="1">
                  <c:v>仓库管理</c:v>
                </c:pt>
                <c:pt idx="2">
                  <c:v>堆位管理</c:v>
                </c:pt>
                <c:pt idx="3">
                  <c:v>物料档案</c:v>
                </c:pt>
                <c:pt idx="4">
                  <c:v>矿源备案</c:v>
                </c:pt>
                <c:pt idx="5">
                  <c:v>往来主体</c:v>
                </c:pt>
                <c:pt idx="6">
                  <c:v>保税账册</c:v>
                </c:pt>
                <c:pt idx="7">
                  <c:v>系统设置</c:v>
                </c:pt>
                <c:pt idx="8">
                  <c:v>平面图设置</c:v>
                </c:pt>
                <c:pt idx="9">
                  <c:v>入库管理</c:v>
                </c:pt>
                <c:pt idx="10">
                  <c:v>库内移库</c:v>
                </c:pt>
                <c:pt idx="11">
                  <c:v>库存查询</c:v>
                </c:pt>
                <c:pt idx="12">
                  <c:v>盘点管理</c:v>
                </c:pt>
                <c:pt idx="13">
                  <c:v>库存预警</c:v>
                </c:pt>
                <c:pt idx="14">
                  <c:v>出库管理</c:v>
                </c:pt>
                <c:pt idx="15">
                  <c:v>生产完工</c:v>
                </c:pt>
                <c:pt idx="16">
                  <c:v>关务保税</c:v>
                </c:pt>
                <c:pt idx="17">
                  <c:v>OCR识别</c:v>
                </c:pt>
                <c:pt idx="18">
                  <c:v>对外对接</c:v>
                </c:pt>
                <c:pt idx="19">
                  <c:v>操作日志</c:v>
                </c:pt>
                <c:pt idx="20">
                  <c:v>可视化驾驶舱</c:v>
                </c:pt>
                <c:pt idx="21">
                  <c:v>部署交付</c:v>
                </c:pt>
              </c:strCache>
            </c:strRef>
          </c:cat>
          <c:val>
            <c:numRef>
              <c:f>进度总览!$I$10:$I$31</c:f>
              <c:numCache>
                <c:formatCode>General</c:formatCode>
                <c:ptCount val="2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2"/>
          <c:order val="2"/>
          <c:tx>
            <c:strRef>
              <c:f>进度总览!$J$9</c:f>
              <c:strCache>
                <c:ptCount val="1"/>
                <c:pt idx="0">
                  <c:v>对接中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进度总览!$F$10:$F$31</c:f>
              <c:strCache>
                <c:ptCount val="22"/>
                <c:pt idx="0">
                  <c:v>公共框架</c:v>
                </c:pt>
                <c:pt idx="1">
                  <c:v>仓库管理</c:v>
                </c:pt>
                <c:pt idx="2">
                  <c:v>堆位管理</c:v>
                </c:pt>
                <c:pt idx="3">
                  <c:v>物料档案</c:v>
                </c:pt>
                <c:pt idx="4">
                  <c:v>矿源备案</c:v>
                </c:pt>
                <c:pt idx="5">
                  <c:v>往来主体</c:v>
                </c:pt>
                <c:pt idx="6">
                  <c:v>保税账册</c:v>
                </c:pt>
                <c:pt idx="7">
                  <c:v>系统设置</c:v>
                </c:pt>
                <c:pt idx="8">
                  <c:v>平面图设置</c:v>
                </c:pt>
                <c:pt idx="9">
                  <c:v>入库管理</c:v>
                </c:pt>
                <c:pt idx="10">
                  <c:v>库内移库</c:v>
                </c:pt>
                <c:pt idx="11">
                  <c:v>库存查询</c:v>
                </c:pt>
                <c:pt idx="12">
                  <c:v>盘点管理</c:v>
                </c:pt>
                <c:pt idx="13">
                  <c:v>库存预警</c:v>
                </c:pt>
                <c:pt idx="14">
                  <c:v>出库管理</c:v>
                </c:pt>
                <c:pt idx="15">
                  <c:v>生产完工</c:v>
                </c:pt>
                <c:pt idx="16">
                  <c:v>关务保税</c:v>
                </c:pt>
                <c:pt idx="17">
                  <c:v>OCR识别</c:v>
                </c:pt>
                <c:pt idx="18">
                  <c:v>对外对接</c:v>
                </c:pt>
                <c:pt idx="19">
                  <c:v>操作日志</c:v>
                </c:pt>
                <c:pt idx="20">
                  <c:v>可视化驾驶舱</c:v>
                </c:pt>
                <c:pt idx="21">
                  <c:v>部署交付</c:v>
                </c:pt>
              </c:strCache>
            </c:strRef>
          </c:cat>
          <c:val>
            <c:numRef>
              <c:f>进度总览!$J$10:$J$31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3"/>
          <c:order val="3"/>
          <c:tx>
            <c:strRef>
              <c:f>进度总览!$K$9</c:f>
              <c:strCache>
                <c:ptCount val="1"/>
                <c:pt idx="0">
                  <c:v>测试中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进度总览!$F$10:$F$31</c:f>
              <c:strCache>
                <c:ptCount val="22"/>
                <c:pt idx="0">
                  <c:v>公共框架</c:v>
                </c:pt>
                <c:pt idx="1">
                  <c:v>仓库管理</c:v>
                </c:pt>
                <c:pt idx="2">
                  <c:v>堆位管理</c:v>
                </c:pt>
                <c:pt idx="3">
                  <c:v>物料档案</c:v>
                </c:pt>
                <c:pt idx="4">
                  <c:v>矿源备案</c:v>
                </c:pt>
                <c:pt idx="5">
                  <c:v>往来主体</c:v>
                </c:pt>
                <c:pt idx="6">
                  <c:v>保税账册</c:v>
                </c:pt>
                <c:pt idx="7">
                  <c:v>系统设置</c:v>
                </c:pt>
                <c:pt idx="8">
                  <c:v>平面图设置</c:v>
                </c:pt>
                <c:pt idx="9">
                  <c:v>入库管理</c:v>
                </c:pt>
                <c:pt idx="10">
                  <c:v>库内移库</c:v>
                </c:pt>
                <c:pt idx="11">
                  <c:v>库存查询</c:v>
                </c:pt>
                <c:pt idx="12">
                  <c:v>盘点管理</c:v>
                </c:pt>
                <c:pt idx="13">
                  <c:v>库存预警</c:v>
                </c:pt>
                <c:pt idx="14">
                  <c:v>出库管理</c:v>
                </c:pt>
                <c:pt idx="15">
                  <c:v>生产完工</c:v>
                </c:pt>
                <c:pt idx="16">
                  <c:v>关务保税</c:v>
                </c:pt>
                <c:pt idx="17">
                  <c:v>OCR识别</c:v>
                </c:pt>
                <c:pt idx="18">
                  <c:v>对外对接</c:v>
                </c:pt>
                <c:pt idx="19">
                  <c:v>操作日志</c:v>
                </c:pt>
                <c:pt idx="20">
                  <c:v>可视化驾驶舱</c:v>
                </c:pt>
                <c:pt idx="21">
                  <c:v>部署交付</c:v>
                </c:pt>
              </c:strCache>
            </c:strRef>
          </c:cat>
          <c:val>
            <c:numRef>
              <c:f>进度总览!$K$10:$K$31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4"/>
          <c:order val="4"/>
          <c:tx>
            <c:strRef>
              <c:f>进度总览!$L$9</c:f>
              <c:strCache>
                <c:ptCount val="1"/>
                <c:pt idx="0">
                  <c:v>已完成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进度总览!$F$10:$F$31</c:f>
              <c:strCache>
                <c:ptCount val="22"/>
                <c:pt idx="0">
                  <c:v>公共框架</c:v>
                </c:pt>
                <c:pt idx="1">
                  <c:v>仓库管理</c:v>
                </c:pt>
                <c:pt idx="2">
                  <c:v>堆位管理</c:v>
                </c:pt>
                <c:pt idx="3">
                  <c:v>物料档案</c:v>
                </c:pt>
                <c:pt idx="4">
                  <c:v>矿源备案</c:v>
                </c:pt>
                <c:pt idx="5">
                  <c:v>往来主体</c:v>
                </c:pt>
                <c:pt idx="6">
                  <c:v>保税账册</c:v>
                </c:pt>
                <c:pt idx="7">
                  <c:v>系统设置</c:v>
                </c:pt>
                <c:pt idx="8">
                  <c:v>平面图设置</c:v>
                </c:pt>
                <c:pt idx="9">
                  <c:v>入库管理</c:v>
                </c:pt>
                <c:pt idx="10">
                  <c:v>库内移库</c:v>
                </c:pt>
                <c:pt idx="11">
                  <c:v>库存查询</c:v>
                </c:pt>
                <c:pt idx="12">
                  <c:v>盘点管理</c:v>
                </c:pt>
                <c:pt idx="13">
                  <c:v>库存预警</c:v>
                </c:pt>
                <c:pt idx="14">
                  <c:v>出库管理</c:v>
                </c:pt>
                <c:pt idx="15">
                  <c:v>生产完工</c:v>
                </c:pt>
                <c:pt idx="16">
                  <c:v>关务保税</c:v>
                </c:pt>
                <c:pt idx="17">
                  <c:v>OCR识别</c:v>
                </c:pt>
                <c:pt idx="18">
                  <c:v>对外对接</c:v>
                </c:pt>
                <c:pt idx="19">
                  <c:v>操作日志</c:v>
                </c:pt>
                <c:pt idx="20">
                  <c:v>可视化驾驶舱</c:v>
                </c:pt>
                <c:pt idx="21">
                  <c:v>部署交付</c:v>
                </c:pt>
              </c:strCache>
            </c:strRef>
          </c:cat>
          <c:val>
            <c:numRef>
              <c:f>进度总览!$L$10:$L$31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能力条数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be5837-abeb-4088-afd3-88e49bc5923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44</xdr:row>
      <xdr:rowOff>146685</xdr:rowOff>
    </xdr:from>
    <xdr:ext cx="9877425" cy="3281045"/>
    <xdr:graphicFrame>
      <xdr:nvGraphicFramePr>
        <xdr:cNvPr id="2" name="Chart 1"/>
        <xdr:cNvGraphicFramePr/>
      </xdr:nvGraphicFramePr>
      <xdr:xfrm>
        <a:off x="9525" y="9897110"/>
        <a:ext cx="9877425" cy="3281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Caps" displayName="Caps" ref="A1:W154">
  <autoFilter xmlns:etc="http://www.wps.cn/officeDocument/2017/etCustomData" ref="A1:W154" etc:filterBottomFollowUsedRange="0">
    <filterColumn colId="8">
      <filters>
        <filter val="P0"/>
      </filters>
    </filterColumn>
  </autoFilter>
  <tableColumns count="23">
    <tableColumn id="1" name="编号"/>
    <tableColumn id="2" name="交付批次"/>
    <tableColumn id="3" name="目标节点"/>
    <tableColumn id="4" name="模块"/>
    <tableColumn id="5" name="页面"/>
    <tableColumn id="6" name="能力名称"/>
    <tableColumn id="7" name="能力说明 / 验收要点"/>
    <tableColumn id="8" name="关联接口"/>
    <tableColumn id="9" name="优先级"/>
    <tableColumn id="10" name="原型设计"/>
    <tableColumn id="11" name="UI设计"/>
    <tableColumn id="12" name="前端开发"/>
    <tableColumn id="13" name="后端开发"/>
    <tableColumn id="14" name="前后端对接"/>
    <tableColumn id="15" name="测试"/>
    <tableColumn id="16" name="阶段"/>
    <tableColumn id="17" name="前端负责人"/>
    <tableColumn id="18" name="后端负责人"/>
    <tableColumn id="19" name="测试负责人"/>
    <tableColumn id="20" name="计划完成"/>
    <tableColumn id="21" name="实际完成"/>
    <tableColumn id="22" name="阻塞原因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4F8A"/>
    <pageSetUpPr fitToPage="1"/>
  </sheetPr>
  <dimension ref="A1:G53"/>
  <sheetViews>
    <sheetView showGridLines="0" workbookViewId="0">
      <pane ySplit="2" topLeftCell="A3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22" customWidth="1"/>
    <col min="2" max="2" width="88" customWidth="1"/>
    <col min="3" max="7" width="18" customWidth="1"/>
  </cols>
  <sheetData>
    <row r="1" ht="36" customHeight="1" spans="1:7">
      <c r="A1" s="1" t="s">
        <v>0</v>
      </c>
      <c r="B1" s="2"/>
      <c r="C1" s="2"/>
      <c r="D1" s="2"/>
      <c r="E1" s="2"/>
      <c r="F1" s="2"/>
      <c r="G1" s="2"/>
    </row>
    <row r="2" ht="28" customHeight="1" spans="1:7">
      <c r="A2" s="27" t="s">
        <v>1</v>
      </c>
    </row>
    <row r="4" ht="22" customHeight="1" spans="1:7">
      <c r="A4" s="28" t="s">
        <v>2</v>
      </c>
      <c r="B4" s="29"/>
      <c r="C4" s="29"/>
      <c r="D4" s="29"/>
      <c r="E4" s="29"/>
      <c r="F4" s="29"/>
      <c r="G4" s="29"/>
    </row>
    <row r="5" ht="16.5" spans="1:7">
      <c r="A5" s="26" t="s">
        <v>3</v>
      </c>
      <c r="B5" s="26" t="s">
        <v>4</v>
      </c>
      <c r="C5" s="30"/>
      <c r="D5" s="30"/>
      <c r="E5" s="30"/>
      <c r="F5" s="30"/>
      <c r="G5" s="30"/>
    </row>
    <row r="6" ht="36" customHeight="1" spans="1:7">
      <c r="A6" s="31" t="s">
        <v>5</v>
      </c>
      <c r="B6" s="5" t="s">
        <v>6</v>
      </c>
      <c r="C6" s="21"/>
      <c r="D6" s="21"/>
      <c r="E6" s="21"/>
      <c r="F6" s="21"/>
      <c r="G6" s="21"/>
    </row>
    <row r="7" ht="36" customHeight="1" spans="1:7">
      <c r="A7" s="31" t="s">
        <v>7</v>
      </c>
      <c r="B7" s="5" t="s">
        <v>8</v>
      </c>
      <c r="C7" s="21"/>
      <c r="D7" s="21"/>
      <c r="E7" s="21"/>
      <c r="F7" s="21"/>
      <c r="G7" s="21"/>
    </row>
    <row r="8" ht="36" customHeight="1" spans="1:7">
      <c r="A8" s="31" t="s">
        <v>9</v>
      </c>
      <c r="B8" s="5" t="s">
        <v>10</v>
      </c>
      <c r="C8" s="21"/>
      <c r="D8" s="21"/>
      <c r="E8" s="21"/>
      <c r="F8" s="21"/>
      <c r="G8" s="21"/>
    </row>
    <row r="9" ht="36" customHeight="1" spans="1:7">
      <c r="A9" s="31" t="s">
        <v>11</v>
      </c>
      <c r="B9" s="5" t="s">
        <v>12</v>
      </c>
      <c r="C9" s="21"/>
      <c r="D9" s="21"/>
      <c r="E9" s="21"/>
      <c r="F9" s="21"/>
      <c r="G9" s="21"/>
    </row>
    <row r="11" ht="22" customHeight="1" spans="1:7">
      <c r="A11" s="28" t="s">
        <v>13</v>
      </c>
      <c r="B11" s="29"/>
      <c r="C11" s="29"/>
      <c r="D11" s="29"/>
      <c r="E11" s="29"/>
      <c r="F11" s="29"/>
      <c r="G11" s="29"/>
    </row>
    <row r="12" ht="16.5" spans="1:7">
      <c r="A12" s="26" t="s">
        <v>3</v>
      </c>
      <c r="B12" s="26" t="s">
        <v>4</v>
      </c>
      <c r="C12" s="30"/>
      <c r="D12" s="30"/>
      <c r="E12" s="30"/>
      <c r="F12" s="30"/>
      <c r="G12" s="30"/>
    </row>
    <row r="13" ht="36" customHeight="1" spans="1:7">
      <c r="A13" s="31" t="s">
        <v>14</v>
      </c>
      <c r="B13" s="5" t="s">
        <v>15</v>
      </c>
      <c r="C13" s="21"/>
      <c r="D13" s="21"/>
      <c r="E13" s="21"/>
      <c r="F13" s="21"/>
      <c r="G13" s="21"/>
    </row>
    <row r="14" ht="36" customHeight="1" spans="1:7">
      <c r="A14" s="31" t="s">
        <v>16</v>
      </c>
      <c r="B14" s="5" t="s">
        <v>17</v>
      </c>
      <c r="C14" s="21"/>
      <c r="D14" s="21"/>
      <c r="E14" s="21"/>
      <c r="F14" s="21"/>
      <c r="G14" s="21"/>
    </row>
    <row r="15" ht="36" customHeight="1" spans="1:7">
      <c r="A15" s="31" t="s">
        <v>18</v>
      </c>
      <c r="B15" s="5" t="s">
        <v>19</v>
      </c>
      <c r="C15" s="21"/>
      <c r="D15" s="21"/>
      <c r="E15" s="21"/>
      <c r="F15" s="21"/>
      <c r="G15" s="21"/>
    </row>
    <row r="16" ht="36" customHeight="1" spans="1:7">
      <c r="A16" s="31" t="s">
        <v>20</v>
      </c>
      <c r="B16" s="5" t="s">
        <v>21</v>
      </c>
      <c r="C16" s="21"/>
      <c r="D16" s="21"/>
      <c r="E16" s="21"/>
      <c r="F16" s="21"/>
      <c r="G16" s="21"/>
    </row>
    <row r="17" ht="36" customHeight="1" spans="1:7">
      <c r="A17" s="31" t="s">
        <v>22</v>
      </c>
      <c r="B17" s="5" t="s">
        <v>23</v>
      </c>
      <c r="C17" s="21"/>
      <c r="D17" s="21"/>
      <c r="E17" s="21"/>
      <c r="F17" s="21"/>
      <c r="G17" s="21"/>
    </row>
    <row r="18" ht="36" customHeight="1" spans="1:7">
      <c r="A18" s="31" t="s">
        <v>24</v>
      </c>
      <c r="B18" s="5" t="s">
        <v>25</v>
      </c>
      <c r="C18" s="21"/>
      <c r="D18" s="21"/>
      <c r="E18" s="21"/>
      <c r="F18" s="21"/>
      <c r="G18" s="21"/>
    </row>
    <row r="20" ht="22" customHeight="1" spans="1:7">
      <c r="A20" s="28" t="s">
        <v>26</v>
      </c>
      <c r="B20" s="29"/>
      <c r="C20" s="29"/>
      <c r="D20" s="29"/>
      <c r="E20" s="29"/>
      <c r="F20" s="29"/>
      <c r="G20" s="29"/>
    </row>
    <row r="21" ht="16.5" spans="1:7">
      <c r="A21" s="26" t="s">
        <v>3</v>
      </c>
      <c r="B21" s="26" t="s">
        <v>4</v>
      </c>
      <c r="C21" s="30"/>
      <c r="D21" s="30"/>
      <c r="E21" s="30"/>
      <c r="F21" s="30"/>
      <c r="G21" s="30"/>
    </row>
    <row r="22" ht="36" customHeight="1" spans="1:7">
      <c r="A22" s="31" t="s">
        <v>27</v>
      </c>
      <c r="B22" s="5" t="s">
        <v>28</v>
      </c>
      <c r="C22" s="21"/>
      <c r="D22" s="21"/>
      <c r="E22" s="21"/>
      <c r="F22" s="21"/>
      <c r="G22" s="21"/>
    </row>
    <row r="23" ht="36" customHeight="1" spans="1:7">
      <c r="A23" s="31" t="s">
        <v>29</v>
      </c>
      <c r="B23" s="5" t="s">
        <v>30</v>
      </c>
      <c r="C23" s="21"/>
      <c r="D23" s="21"/>
      <c r="E23" s="21"/>
      <c r="F23" s="21"/>
      <c r="G23" s="21"/>
    </row>
    <row r="24" ht="36" customHeight="1" spans="1:7">
      <c r="A24" s="31" t="s">
        <v>31</v>
      </c>
      <c r="B24" s="5" t="s">
        <v>32</v>
      </c>
      <c r="C24" s="21"/>
      <c r="D24" s="21"/>
      <c r="E24" s="21"/>
      <c r="F24" s="21"/>
      <c r="G24" s="21"/>
    </row>
    <row r="25" ht="36" customHeight="1" spans="1:7">
      <c r="A25" s="31" t="s">
        <v>33</v>
      </c>
      <c r="B25" s="5" t="s">
        <v>34</v>
      </c>
      <c r="C25" s="21"/>
      <c r="D25" s="21"/>
      <c r="E25" s="21"/>
      <c r="F25" s="21"/>
      <c r="G25" s="21"/>
    </row>
    <row r="26" ht="36" customHeight="1" spans="1:7">
      <c r="A26" s="31" t="s">
        <v>35</v>
      </c>
      <c r="B26" s="5" t="s">
        <v>36</v>
      </c>
      <c r="C26" s="21"/>
      <c r="D26" s="21"/>
      <c r="E26" s="21"/>
      <c r="F26" s="21"/>
      <c r="G26" s="21"/>
    </row>
    <row r="28" ht="22" customHeight="1" spans="1:7">
      <c r="A28" s="28" t="s">
        <v>37</v>
      </c>
      <c r="B28" s="29"/>
      <c r="C28" s="29"/>
      <c r="D28" s="29"/>
      <c r="E28" s="29"/>
      <c r="F28" s="29"/>
      <c r="G28" s="29"/>
    </row>
    <row r="29" ht="16.5" spans="1:7">
      <c r="A29" s="26" t="s">
        <v>3</v>
      </c>
      <c r="B29" s="26" t="s">
        <v>4</v>
      </c>
      <c r="C29" s="30"/>
      <c r="D29" s="30"/>
      <c r="E29" s="30"/>
      <c r="F29" s="30"/>
      <c r="G29" s="30"/>
    </row>
    <row r="30" ht="36" customHeight="1" spans="1:7">
      <c r="A30" s="31" t="s">
        <v>27</v>
      </c>
      <c r="B30" s="5" t="s">
        <v>38</v>
      </c>
      <c r="C30" s="21"/>
      <c r="D30" s="21"/>
      <c r="E30" s="21"/>
      <c r="F30" s="21"/>
      <c r="G30" s="21"/>
    </row>
    <row r="31" ht="36" customHeight="1" spans="1:7">
      <c r="A31" s="31" t="s">
        <v>39</v>
      </c>
      <c r="B31" s="5" t="s">
        <v>40</v>
      </c>
      <c r="C31" s="21"/>
      <c r="D31" s="21"/>
      <c r="E31" s="21"/>
      <c r="F31" s="21"/>
      <c r="G31" s="21"/>
    </row>
    <row r="32" ht="36" customHeight="1" spans="1:7">
      <c r="A32" s="31" t="s">
        <v>41</v>
      </c>
      <c r="B32" s="5" t="s">
        <v>42</v>
      </c>
      <c r="C32" s="21"/>
      <c r="D32" s="21"/>
      <c r="E32" s="21"/>
      <c r="F32" s="21"/>
      <c r="G32" s="21"/>
    </row>
    <row r="33" ht="36" customHeight="1" spans="1:7">
      <c r="A33" s="31" t="s">
        <v>43</v>
      </c>
      <c r="B33" s="5" t="s">
        <v>44</v>
      </c>
      <c r="C33" s="21"/>
      <c r="D33" s="21"/>
      <c r="E33" s="21"/>
      <c r="F33" s="21"/>
      <c r="G33" s="21"/>
    </row>
    <row r="34" ht="36" customHeight="1" spans="1:7">
      <c r="A34" s="31" t="s">
        <v>45</v>
      </c>
      <c r="B34" s="5" t="s">
        <v>46</v>
      </c>
      <c r="C34" s="21"/>
      <c r="D34" s="21"/>
      <c r="E34" s="21"/>
      <c r="F34" s="21"/>
      <c r="G34" s="21"/>
    </row>
    <row r="35" ht="36" customHeight="1" spans="1:7">
      <c r="A35" s="31" t="s">
        <v>47</v>
      </c>
      <c r="B35" s="5" t="s">
        <v>48</v>
      </c>
      <c r="C35" s="21"/>
      <c r="D35" s="21"/>
      <c r="E35" s="21"/>
      <c r="F35" s="21"/>
      <c r="G35" s="21"/>
    </row>
    <row r="36" ht="36" customHeight="1" spans="1:7">
      <c r="A36" s="31" t="s">
        <v>31</v>
      </c>
      <c r="B36" s="5" t="s">
        <v>49</v>
      </c>
      <c r="C36" s="21"/>
      <c r="D36" s="21"/>
      <c r="E36" s="21"/>
      <c r="F36" s="21"/>
      <c r="G36" s="21"/>
    </row>
    <row r="37" ht="36" customHeight="1" spans="1:7">
      <c r="A37" s="31" t="s">
        <v>33</v>
      </c>
      <c r="B37" s="5" t="s">
        <v>50</v>
      </c>
      <c r="C37" s="21"/>
      <c r="D37" s="21"/>
      <c r="E37" s="21"/>
      <c r="F37" s="21"/>
      <c r="G37" s="21"/>
    </row>
    <row r="39" ht="22" customHeight="1" spans="1:7">
      <c r="A39" s="28" t="s">
        <v>51</v>
      </c>
      <c r="B39" s="29"/>
      <c r="C39" s="29"/>
      <c r="D39" s="29"/>
      <c r="E39" s="29"/>
      <c r="F39" s="29"/>
      <c r="G39" s="29"/>
    </row>
    <row r="40" ht="16.5" spans="1:7">
      <c r="A40" s="26" t="s">
        <v>3</v>
      </c>
      <c r="B40" s="26" t="s">
        <v>4</v>
      </c>
      <c r="C40" s="30"/>
      <c r="D40" s="30"/>
      <c r="E40" s="30"/>
      <c r="F40" s="30"/>
      <c r="G40" s="30"/>
    </row>
    <row r="41" ht="36" customHeight="1" spans="1:7">
      <c r="A41" s="31" t="s">
        <v>52</v>
      </c>
      <c r="B41" s="5" t="s">
        <v>53</v>
      </c>
      <c r="C41" s="21"/>
      <c r="D41" s="21"/>
      <c r="E41" s="21"/>
      <c r="F41" s="21"/>
      <c r="G41" s="21"/>
    </row>
    <row r="42" ht="36" customHeight="1" spans="1:7">
      <c r="A42" s="31" t="s">
        <v>54</v>
      </c>
      <c r="B42" s="5" t="s">
        <v>55</v>
      </c>
      <c r="C42" s="21"/>
      <c r="D42" s="21"/>
      <c r="E42" s="21"/>
      <c r="F42" s="21"/>
      <c r="G42" s="21"/>
    </row>
    <row r="43" ht="36" customHeight="1" spans="1:7">
      <c r="A43" s="31" t="s">
        <v>56</v>
      </c>
      <c r="B43" s="5" t="s">
        <v>57</v>
      </c>
      <c r="C43" s="21"/>
      <c r="D43" s="21"/>
      <c r="E43" s="21"/>
      <c r="F43" s="21"/>
      <c r="G43" s="21"/>
    </row>
    <row r="44" ht="36" customHeight="1" spans="1:7">
      <c r="A44" s="31" t="s">
        <v>58</v>
      </c>
      <c r="B44" s="5" t="s">
        <v>59</v>
      </c>
      <c r="C44" s="21"/>
      <c r="D44" s="21"/>
      <c r="E44" s="21"/>
      <c r="F44" s="21"/>
      <c r="G44" s="21"/>
    </row>
    <row r="45" ht="36" customHeight="1" spans="1:7">
      <c r="A45" s="31" t="s">
        <v>60</v>
      </c>
      <c r="B45" s="5" t="s">
        <v>61</v>
      </c>
      <c r="C45" s="21"/>
      <c r="D45" s="21"/>
      <c r="E45" s="21"/>
      <c r="F45" s="21"/>
      <c r="G45" s="21"/>
    </row>
    <row r="47" ht="22" customHeight="1" spans="1:7">
      <c r="A47" s="28" t="s">
        <v>62</v>
      </c>
      <c r="B47" s="29"/>
      <c r="C47" s="29"/>
      <c r="D47" s="29"/>
      <c r="E47" s="29"/>
      <c r="F47" s="29"/>
      <c r="G47" s="29"/>
    </row>
    <row r="48" ht="16.5" spans="1:7">
      <c r="A48" s="26" t="s">
        <v>3</v>
      </c>
      <c r="B48" s="26" t="s">
        <v>4</v>
      </c>
      <c r="C48" s="30"/>
      <c r="D48" s="30"/>
      <c r="E48" s="30"/>
      <c r="F48" s="30"/>
      <c r="G48" s="30"/>
    </row>
    <row r="49" ht="36" customHeight="1" spans="1:7">
      <c r="A49" s="31" t="s">
        <v>63</v>
      </c>
      <c r="B49" s="5" t="s">
        <v>64</v>
      </c>
      <c r="C49" s="21"/>
      <c r="D49" s="21"/>
      <c r="E49" s="21"/>
      <c r="F49" s="21"/>
      <c r="G49" s="21"/>
    </row>
    <row r="50" ht="36" customHeight="1" spans="1:7">
      <c r="A50" s="31" t="s">
        <v>65</v>
      </c>
      <c r="B50" s="5" t="s">
        <v>66</v>
      </c>
      <c r="C50" s="21"/>
      <c r="D50" s="21"/>
      <c r="E50" s="21"/>
      <c r="F50" s="21"/>
      <c r="G50" s="21"/>
    </row>
    <row r="51" ht="36" customHeight="1" spans="1:7">
      <c r="A51" s="31" t="s">
        <v>67</v>
      </c>
      <c r="B51" s="5" t="s">
        <v>68</v>
      </c>
      <c r="C51" s="21"/>
      <c r="D51" s="21"/>
      <c r="E51" s="21"/>
      <c r="F51" s="21"/>
      <c r="G51" s="21"/>
    </row>
    <row r="52" ht="36" customHeight="1" spans="1:7">
      <c r="A52" s="31" t="s">
        <v>69</v>
      </c>
      <c r="B52" s="5" t="s">
        <v>70</v>
      </c>
      <c r="C52" s="21"/>
      <c r="D52" s="21"/>
      <c r="E52" s="21"/>
      <c r="F52" s="21"/>
      <c r="G52" s="21"/>
    </row>
    <row r="53" ht="36" customHeight="1" spans="1:7">
      <c r="A53" s="31" t="s">
        <v>71</v>
      </c>
      <c r="B53" s="5" t="s">
        <v>72</v>
      </c>
      <c r="C53" s="21"/>
      <c r="D53" s="21"/>
      <c r="E53" s="21"/>
      <c r="F53" s="21"/>
      <c r="G53" s="21"/>
    </row>
  </sheetData>
  <mergeCells count="47">
    <mergeCell ref="A1:G1"/>
    <mergeCell ref="A2:G2"/>
    <mergeCell ref="A4:G4"/>
    <mergeCell ref="B5:G5"/>
    <mergeCell ref="B6:G6"/>
    <mergeCell ref="B7:G7"/>
    <mergeCell ref="B8:G8"/>
    <mergeCell ref="B9:G9"/>
    <mergeCell ref="A11:G11"/>
    <mergeCell ref="B12:G12"/>
    <mergeCell ref="B13:G13"/>
    <mergeCell ref="B14:G14"/>
    <mergeCell ref="B15:G15"/>
    <mergeCell ref="B16:G16"/>
    <mergeCell ref="B17:G17"/>
    <mergeCell ref="B18:G18"/>
    <mergeCell ref="A20:G20"/>
    <mergeCell ref="B21:G21"/>
    <mergeCell ref="B22:G22"/>
    <mergeCell ref="B23:G23"/>
    <mergeCell ref="B24:G24"/>
    <mergeCell ref="B25:G25"/>
    <mergeCell ref="B26:G26"/>
    <mergeCell ref="A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9:G39"/>
    <mergeCell ref="B40:G40"/>
    <mergeCell ref="B41:G41"/>
    <mergeCell ref="B42:G42"/>
    <mergeCell ref="B43:G43"/>
    <mergeCell ref="B44:G44"/>
    <mergeCell ref="B45:G45"/>
    <mergeCell ref="A47:G47"/>
    <mergeCell ref="B48:G48"/>
    <mergeCell ref="B49:G49"/>
    <mergeCell ref="B50:G50"/>
    <mergeCell ref="B51:G51"/>
    <mergeCell ref="B52:G52"/>
    <mergeCell ref="B53:G53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80C4"/>
  </sheetPr>
  <dimension ref="A1:L43"/>
  <sheetViews>
    <sheetView showGridLines="0" zoomScale="115" zoomScaleNormal="115" workbookViewId="0">
      <pane ySplit="2" topLeftCell="A22" activePane="bottomLeft" state="frozen"/>
      <selection/>
      <selection pane="bottomLeft" activeCell="K47" sqref="K47"/>
    </sheetView>
  </sheetViews>
  <sheetFormatPr defaultColWidth="9" defaultRowHeight="13.5"/>
  <cols>
    <col min="1" max="1" width="16" customWidth="1"/>
    <col min="2" max="2" width="14" customWidth="1"/>
    <col min="3" max="3" width="12" customWidth="1"/>
    <col min="4" max="4" width="36" customWidth="1"/>
    <col min="5" max="5" width="14" customWidth="1"/>
    <col min="6" max="6" width="18" customWidth="1"/>
    <col min="7" max="12" width="10" customWidth="1"/>
    <col min="13" max="13" width="14" customWidth="1"/>
  </cols>
  <sheetData>
    <row r="1" ht="36" customHeight="1" spans="1:12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12">
      <c r="A2" s="7" t="s">
        <v>74</v>
      </c>
    </row>
    <row r="4" ht="22" customHeight="1" spans="1:12">
      <c r="A4" s="16" t="s">
        <v>14</v>
      </c>
      <c r="B4" s="17"/>
      <c r="C4" s="16" t="s">
        <v>16</v>
      </c>
      <c r="D4" s="17"/>
      <c r="E4" s="16" t="s">
        <v>18</v>
      </c>
      <c r="F4" s="17"/>
      <c r="G4" s="16" t="s">
        <v>20</v>
      </c>
      <c r="H4" s="17"/>
      <c r="I4" s="16" t="s">
        <v>22</v>
      </c>
      <c r="J4" s="17"/>
      <c r="K4" s="16" t="s">
        <v>24</v>
      </c>
      <c r="L4" s="17"/>
    </row>
    <row r="5" ht="36" customHeight="1" spans="1:12">
      <c r="A5" s="18">
        <f>IF((COUNTA(能力明细!J$2:J$154)-COUNTIF(能力明细!J$2:J$154,"不适用"))=0,"—",COUNTIF(能力明细!J$2:J$154,"已完成")/(COUNTA(能力明细!J$2:J$154)-COUNTIF(能力明细!J$2:J$154,"不适用")))</f>
        <v>1</v>
      </c>
      <c r="B5" s="19"/>
      <c r="C5" s="18">
        <f>IF((COUNTA(能力明细!K$2:K$154)-COUNTIF(能力明细!K$2:K$154,"不适用"))=0,"—",COUNTIF(能力明细!K$2:K$154,"已完成")/(COUNTA(能力明细!K$2:K$154)-COUNTIF(能力明细!K$2:K$154,"不适用")))</f>
        <v>1</v>
      </c>
      <c r="D5" s="19"/>
      <c r="E5" s="18">
        <f>IF((COUNTA(能力明细!L$2:L$154)-COUNTIF(能力明细!L$2:L$154,"不适用"))=0,"—",COUNTIF(能力明细!L$2:L$154,"已完成")/(COUNTA(能力明细!L$2:L$154)-COUNTIF(能力明细!L$2:L$154,"不适用")))</f>
        <v>0.0137931034482759</v>
      </c>
      <c r="F5" s="19"/>
      <c r="G5" s="18">
        <f>IF((COUNTA(能力明细!M$2:M$154)-COUNTIF(能力明细!M$2:M$154,"不适用"))=0,"—",COUNTIF(能力明细!M$2:M$154,"已完成")/(COUNTA(能力明细!M$2:M$154)-COUNTIF(能力明细!M$2:M$154,"不适用")))</f>
        <v>0</v>
      </c>
      <c r="H5" s="19"/>
      <c r="I5" s="18">
        <f>IF((COUNTA(能力明细!N$2:N$154)-COUNTIF(能力明细!N$2:N$154,"不适用"))=0,"—",COUNTIF(能力明细!N$2:N$154,"已完成")/(COUNTA(能力明细!N$2:N$154)-COUNTIF(能力明细!N$2:N$154,"不适用")))</f>
        <v>0</v>
      </c>
      <c r="J5" s="19"/>
      <c r="K5" s="18">
        <f>IF((COUNTA(能力明细!O$2:O$154)-COUNTIF(能力明细!O$2:O$154,"不适用"))=0,"—",COUNTIF(能力明细!O$2:O$154,"已完成")/(COUNTA(能力明细!O$2:O$154)-COUNTIF(能力明细!O$2:O$154,"不适用")))</f>
        <v>0</v>
      </c>
      <c r="L5" s="19"/>
    </row>
    <row r="6" ht="22" customHeight="1" spans="1:12">
      <c r="A6" s="20" t="str">
        <f>COUNTIF(能力明细!J$2:J$154,"已完成")&amp;" 已完成 / "&amp;(COUNTA(能力明细!J$2:J$154)-COUNTIF(能力明细!J$2:J$154,"不适用"))&amp;" 适用"</f>
        <v>138 已完成 / 138 适用</v>
      </c>
      <c r="B6" s="21"/>
      <c r="C6" s="20" t="str">
        <f>COUNTIF(能力明细!K$2:K$154,"已完成")&amp;" 已完成 / "&amp;(COUNTA(能力明细!K$2:K$154)-COUNTIF(能力明细!K$2:K$154,"不适用"))&amp;" 适用"</f>
        <v>138 已完成 / 138 适用</v>
      </c>
      <c r="D6" s="21"/>
      <c r="E6" s="20" t="str">
        <f>COUNTIF(能力明细!L$2:L$154,"已完成")&amp;" 已完成 / "&amp;(COUNTA(能力明细!L$2:L$154)-COUNTIF(能力明细!L$2:L$154,"不适用"))&amp;" 适用"</f>
        <v>2 已完成 / 145 适用</v>
      </c>
      <c r="F6" s="21"/>
      <c r="G6" s="20" t="str">
        <f>COUNTIF(能力明细!M$2:M$154,"已完成")&amp;" 已完成 / "&amp;(COUNTA(能力明细!M$2:M$154)-COUNTIF(能力明细!M$2:M$154,"不适用"))&amp;" 适用"</f>
        <v>0 已完成 / 150 适用</v>
      </c>
      <c r="H6" s="21"/>
      <c r="I6" s="20" t="str">
        <f>COUNTIF(能力明细!N$2:N$154,"已完成")&amp;" 已完成 / "&amp;(COUNTA(能力明细!N$2:N$154)-COUNTIF(能力明细!N$2:N$154,"不适用"))&amp;" 适用"</f>
        <v>0 已完成 / 147 适用</v>
      </c>
      <c r="J6" s="21"/>
      <c r="K6" s="20" t="str">
        <f>COUNTIF(能力明细!O$2:O$154,"已完成")&amp;" 已完成 / "&amp;(COUNTA(能力明细!O$2:O$154)-COUNTIF(能力明细!O$2:O$154,"不适用"))&amp;" 适用"</f>
        <v>0 已完成 / 153 适用</v>
      </c>
      <c r="L6" s="21"/>
    </row>
    <row r="8" ht="22" customHeight="1" spans="1:12">
      <c r="A8" s="22" t="s">
        <v>75</v>
      </c>
      <c r="B8" s="22"/>
      <c r="C8" s="22"/>
      <c r="D8" s="22"/>
      <c r="F8" s="22" t="s">
        <v>76</v>
      </c>
      <c r="G8" s="17"/>
      <c r="H8" s="17"/>
      <c r="I8" s="17"/>
      <c r="J8" s="17"/>
      <c r="K8" s="17"/>
      <c r="L8" s="17"/>
    </row>
    <row r="9" ht="16.5" spans="1:12">
      <c r="A9" s="23" t="s">
        <v>77</v>
      </c>
      <c r="B9" s="23" t="s">
        <v>71</v>
      </c>
      <c r="C9" s="23" t="s">
        <v>78</v>
      </c>
      <c r="D9" s="23" t="s">
        <v>4</v>
      </c>
      <c r="F9" s="23" t="s">
        <v>79</v>
      </c>
      <c r="G9" s="23" t="s">
        <v>80</v>
      </c>
      <c r="H9" s="23" t="s">
        <v>41</v>
      </c>
      <c r="I9" s="23" t="s">
        <v>43</v>
      </c>
      <c r="J9" s="23" t="s">
        <v>45</v>
      </c>
      <c r="K9" s="23" t="s">
        <v>47</v>
      </c>
      <c r="L9" s="23" t="s">
        <v>31</v>
      </c>
    </row>
    <row r="10" ht="16.5" spans="1:12">
      <c r="A10" s="4" t="s">
        <v>41</v>
      </c>
      <c r="B10" s="4">
        <f>COUNTIF(能力明细!P$2:P$154,A10)</f>
        <v>151</v>
      </c>
      <c r="C10" s="24">
        <f>IF(COUNTA(能力明细!P$2:P$154)=0,0,B10/COUNTA(能力明细!P$2:P$154))</f>
        <v>0.986928104575163</v>
      </c>
      <c r="D10" s="25" t="s">
        <v>81</v>
      </c>
      <c r="F10" s="5" t="s">
        <v>82</v>
      </c>
      <c r="G10" s="4">
        <f>COUNTIF(能力明细!D$2:D$154,F10)</f>
        <v>15</v>
      </c>
      <c r="H10" s="4">
        <f>COUNTIFS(能力明细!D$2:D$154,F10,能力明细!P$2:P$154,"待开发")</f>
        <v>13</v>
      </c>
      <c r="I10" s="4">
        <f>COUNTIFS(能力明细!D$2:D$154,F10,能力明细!P$2:P$154,"开发中")</f>
        <v>2</v>
      </c>
      <c r="J10" s="4">
        <f>COUNTIFS(能力明细!D$2:D$154,F10,能力明细!P$2:P$154,"对接中")</f>
        <v>0</v>
      </c>
      <c r="K10" s="4">
        <f>COUNTIFS(能力明细!D$2:D$154,F10,能力明细!P$2:P$154,"测试中")</f>
        <v>0</v>
      </c>
      <c r="L10" s="4">
        <f>COUNTIFS(能力明细!D$2:D$154,F10,能力明细!P$2:P$154,"已完成")</f>
        <v>0</v>
      </c>
    </row>
    <row r="11" ht="16.5" spans="1:12">
      <c r="A11" s="4" t="s">
        <v>43</v>
      </c>
      <c r="B11" s="4">
        <f>COUNTIF(能力明细!P$2:P$154,A11)</f>
        <v>2</v>
      </c>
      <c r="C11" s="24">
        <f>IF(COUNTA(能力明细!P$2:P$154)=0,0,B11/COUNTA(能力明细!P$2:P$154))</f>
        <v>0.0130718954248366</v>
      </c>
      <c r="D11" s="25" t="s">
        <v>44</v>
      </c>
      <c r="F11" s="5" t="s">
        <v>83</v>
      </c>
      <c r="G11" s="4">
        <f>COUNTIF(能力明细!D$2:D$154,F11)</f>
        <v>3</v>
      </c>
      <c r="H11" s="4">
        <f>COUNTIFS(能力明细!D$2:D$154,F11,能力明细!P$2:P$154,"待开发")</f>
        <v>3</v>
      </c>
      <c r="I11" s="4">
        <f>COUNTIFS(能力明细!D$2:D$154,F11,能力明细!P$2:P$154,"开发中")</f>
        <v>0</v>
      </c>
      <c r="J11" s="4">
        <f>COUNTIFS(能力明细!D$2:D$154,F11,能力明细!P$2:P$154,"对接中")</f>
        <v>0</v>
      </c>
      <c r="K11" s="4">
        <f>COUNTIFS(能力明细!D$2:D$154,F11,能力明细!P$2:P$154,"测试中")</f>
        <v>0</v>
      </c>
      <c r="L11" s="4">
        <f>COUNTIFS(能力明细!D$2:D$154,F11,能力明细!P$2:P$154,"已完成")</f>
        <v>0</v>
      </c>
    </row>
    <row r="12" ht="16.5" spans="1:12">
      <c r="A12" s="4" t="s">
        <v>45</v>
      </c>
      <c r="B12" s="4">
        <f>COUNTIF(能力明细!P$2:P$154,A12)</f>
        <v>0</v>
      </c>
      <c r="C12" s="24">
        <f>IF(COUNTA(能力明细!P$2:P$154)=0,0,B12/COUNTA(能力明细!P$2:P$154))</f>
        <v>0</v>
      </c>
      <c r="D12" s="25" t="s">
        <v>84</v>
      </c>
      <c r="F12" s="5" t="s">
        <v>85</v>
      </c>
      <c r="G12" s="4">
        <f>COUNTIF(能力明细!D$2:D$154,F12)</f>
        <v>7</v>
      </c>
      <c r="H12" s="4">
        <f>COUNTIFS(能力明细!D$2:D$154,F12,能力明细!P$2:P$154,"待开发")</f>
        <v>7</v>
      </c>
      <c r="I12" s="4">
        <f>COUNTIFS(能力明细!D$2:D$154,F12,能力明细!P$2:P$154,"开发中")</f>
        <v>0</v>
      </c>
      <c r="J12" s="4">
        <f>COUNTIFS(能力明细!D$2:D$154,F12,能力明细!P$2:P$154,"对接中")</f>
        <v>0</v>
      </c>
      <c r="K12" s="4">
        <f>COUNTIFS(能力明细!D$2:D$154,F12,能力明细!P$2:P$154,"测试中")</f>
        <v>0</v>
      </c>
      <c r="L12" s="4">
        <f>COUNTIFS(能力明细!D$2:D$154,F12,能力明细!P$2:P$154,"已完成")</f>
        <v>0</v>
      </c>
    </row>
    <row r="13" ht="16.5" spans="1:12">
      <c r="A13" s="4" t="s">
        <v>47</v>
      </c>
      <c r="B13" s="4">
        <f>COUNTIF(能力明细!P$2:P$154,A13)</f>
        <v>0</v>
      </c>
      <c r="C13" s="24">
        <f>IF(COUNTA(能力明细!P$2:P$154)=0,0,B13/COUNTA(能力明细!P$2:P$154))</f>
        <v>0</v>
      </c>
      <c r="D13" s="25" t="s">
        <v>86</v>
      </c>
      <c r="F13" s="5" t="s">
        <v>87</v>
      </c>
      <c r="G13" s="4">
        <f>COUNTIF(能力明细!D$2:D$154,F13)</f>
        <v>4</v>
      </c>
      <c r="H13" s="4">
        <f>COUNTIFS(能力明细!D$2:D$154,F13,能力明细!P$2:P$154,"待开发")</f>
        <v>4</v>
      </c>
      <c r="I13" s="4">
        <f>COUNTIFS(能力明细!D$2:D$154,F13,能力明细!P$2:P$154,"开发中")</f>
        <v>0</v>
      </c>
      <c r="J13" s="4">
        <f>COUNTIFS(能力明细!D$2:D$154,F13,能力明细!P$2:P$154,"对接中")</f>
        <v>0</v>
      </c>
      <c r="K13" s="4">
        <f>COUNTIFS(能力明细!D$2:D$154,F13,能力明细!P$2:P$154,"测试中")</f>
        <v>0</v>
      </c>
      <c r="L13" s="4">
        <f>COUNTIFS(能力明细!D$2:D$154,F13,能力明细!P$2:P$154,"已完成")</f>
        <v>0</v>
      </c>
    </row>
    <row r="14" ht="16.5" spans="1:12">
      <c r="A14" s="4" t="s">
        <v>31</v>
      </c>
      <c r="B14" s="4">
        <f>COUNTIF(能力明细!P$2:P$154,A14)</f>
        <v>0</v>
      </c>
      <c r="C14" s="24">
        <f>IF(COUNTA(能力明细!P$2:P$154)=0,0,B14/COUNTA(能力明细!P$2:P$154))</f>
        <v>0</v>
      </c>
      <c r="D14" s="25" t="s">
        <v>88</v>
      </c>
      <c r="F14" s="5" t="s">
        <v>89</v>
      </c>
      <c r="G14" s="4">
        <f>COUNTIF(能力明细!D$2:D$154,F14)</f>
        <v>10</v>
      </c>
      <c r="H14" s="4">
        <f>COUNTIFS(能力明细!D$2:D$154,F14,能力明细!P$2:P$154,"待开发")</f>
        <v>10</v>
      </c>
      <c r="I14" s="4">
        <f>COUNTIFS(能力明细!D$2:D$154,F14,能力明细!P$2:P$154,"开发中")</f>
        <v>0</v>
      </c>
      <c r="J14" s="4">
        <f>COUNTIFS(能力明细!D$2:D$154,F14,能力明细!P$2:P$154,"对接中")</f>
        <v>0</v>
      </c>
      <c r="K14" s="4">
        <f>COUNTIFS(能力明细!D$2:D$154,F14,能力明细!P$2:P$154,"测试中")</f>
        <v>0</v>
      </c>
      <c r="L14" s="4">
        <f>COUNTIFS(能力明细!D$2:D$154,F14,能力明细!P$2:P$154,"已完成")</f>
        <v>0</v>
      </c>
    </row>
    <row r="15" ht="16.5" spans="1:12">
      <c r="A15" s="4" t="s">
        <v>33</v>
      </c>
      <c r="B15" s="4">
        <f>COUNTIF(能力明细!P$2:P$154,A15)</f>
        <v>0</v>
      </c>
      <c r="C15" s="24">
        <f>IF(COUNTA(能力明细!P$2:P$154)=0,0,B15/COUNTA(能力明细!P$2:P$154))</f>
        <v>0</v>
      </c>
      <c r="D15" s="25" t="s">
        <v>90</v>
      </c>
      <c r="F15" s="5" t="s">
        <v>91</v>
      </c>
      <c r="G15" s="4">
        <f>COUNTIF(能力明细!D$2:D$154,F15)</f>
        <v>3</v>
      </c>
      <c r="H15" s="4">
        <f>COUNTIFS(能力明细!D$2:D$154,F15,能力明细!P$2:P$154,"待开发")</f>
        <v>3</v>
      </c>
      <c r="I15" s="4">
        <f>COUNTIFS(能力明细!D$2:D$154,F15,能力明细!P$2:P$154,"开发中")</f>
        <v>0</v>
      </c>
      <c r="J15" s="4">
        <f>COUNTIFS(能力明细!D$2:D$154,F15,能力明细!P$2:P$154,"对接中")</f>
        <v>0</v>
      </c>
      <c r="K15" s="4">
        <f>COUNTIFS(能力明细!D$2:D$154,F15,能力明细!P$2:P$154,"测试中")</f>
        <v>0</v>
      </c>
      <c r="L15" s="4">
        <f>COUNTIFS(能力明细!D$2:D$154,F15,能力明细!P$2:P$154,"已完成")</f>
        <v>0</v>
      </c>
    </row>
    <row r="16" ht="16.5" spans="1:12">
      <c r="A16" s="4" t="s">
        <v>27</v>
      </c>
      <c r="B16" s="4">
        <f>COUNTIF(能力明细!P$2:P$154,A16)</f>
        <v>0</v>
      </c>
      <c r="C16" s="24">
        <f>IF(COUNTA(能力明细!P$2:P$154)=0,0,B16/COUNTA(能力明细!P$2:P$154))</f>
        <v>0</v>
      </c>
      <c r="D16" s="25" t="s">
        <v>92</v>
      </c>
      <c r="F16" s="5" t="s">
        <v>93</v>
      </c>
      <c r="G16" s="4">
        <f>COUNTIF(能力明细!D$2:D$154,F16)</f>
        <v>6</v>
      </c>
      <c r="H16" s="4">
        <f>COUNTIFS(能力明细!D$2:D$154,F16,能力明细!P$2:P$154,"待开发")</f>
        <v>6</v>
      </c>
      <c r="I16" s="4">
        <f>COUNTIFS(能力明细!D$2:D$154,F16,能力明细!P$2:P$154,"开发中")</f>
        <v>0</v>
      </c>
      <c r="J16" s="4">
        <f>COUNTIFS(能力明细!D$2:D$154,F16,能力明细!P$2:P$154,"对接中")</f>
        <v>0</v>
      </c>
      <c r="K16" s="4">
        <f>COUNTIFS(能力明细!D$2:D$154,F16,能力明细!P$2:P$154,"测试中")</f>
        <v>0</v>
      </c>
      <c r="L16" s="4">
        <f>COUNTIFS(能力明细!D$2:D$154,F16,能力明细!P$2:P$154,"已完成")</f>
        <v>0</v>
      </c>
    </row>
    <row r="17" ht="16.5" spans="1:12">
      <c r="A17" s="4" t="s">
        <v>94</v>
      </c>
      <c r="B17" s="4">
        <f>COUNTIF(能力明细!P$2:P$154,A17)</f>
        <v>0</v>
      </c>
      <c r="C17" s="24">
        <f>IF(COUNTA(能力明细!P$2:P$154)=0,0,B17/COUNTA(能力明细!P$2:P$154))</f>
        <v>0</v>
      </c>
      <c r="D17" s="25" t="s">
        <v>95</v>
      </c>
      <c r="F17" s="5" t="s">
        <v>96</v>
      </c>
      <c r="G17" s="4">
        <f>COUNTIF(能力明细!D$2:D$154,F17)</f>
        <v>8</v>
      </c>
      <c r="H17" s="4">
        <f>COUNTIFS(能力明细!D$2:D$154,F17,能力明细!P$2:P$154,"待开发")</f>
        <v>8</v>
      </c>
      <c r="I17" s="4">
        <f>COUNTIFS(能力明细!D$2:D$154,F17,能力明细!P$2:P$154,"开发中")</f>
        <v>0</v>
      </c>
      <c r="J17" s="4">
        <f>COUNTIFS(能力明细!D$2:D$154,F17,能力明细!P$2:P$154,"对接中")</f>
        <v>0</v>
      </c>
      <c r="K17" s="4">
        <f>COUNTIFS(能力明细!D$2:D$154,F17,能力明细!P$2:P$154,"测试中")</f>
        <v>0</v>
      </c>
      <c r="L17" s="4">
        <f>COUNTIFS(能力明细!D$2:D$154,F17,能力明细!P$2:P$154,"已完成")</f>
        <v>0</v>
      </c>
    </row>
    <row r="18" ht="16.5" spans="1:12">
      <c r="A18" s="4" t="s">
        <v>97</v>
      </c>
      <c r="B18" s="4">
        <f>COUNTIF(能力明细!P$2:P$154,A18)</f>
        <v>0</v>
      </c>
      <c r="C18" s="24">
        <f>IF(COUNTA(能力明细!P$2:P$154)=0,0,B18/COUNTA(能力明细!P$2:P$154))</f>
        <v>0</v>
      </c>
      <c r="D18" s="25" t="s">
        <v>98</v>
      </c>
      <c r="F18" s="5" t="s">
        <v>99</v>
      </c>
      <c r="G18" s="4">
        <f>COUNTIF(能力明细!D$2:D$154,F18)</f>
        <v>7</v>
      </c>
      <c r="H18" s="4">
        <f>COUNTIFS(能力明细!D$2:D$154,F18,能力明细!P$2:P$154,"待开发")</f>
        <v>7</v>
      </c>
      <c r="I18" s="4">
        <f>COUNTIFS(能力明细!D$2:D$154,F18,能力明细!P$2:P$154,"开发中")</f>
        <v>0</v>
      </c>
      <c r="J18" s="4">
        <f>COUNTIFS(能力明细!D$2:D$154,F18,能力明细!P$2:P$154,"对接中")</f>
        <v>0</v>
      </c>
      <c r="K18" s="4">
        <f>COUNTIFS(能力明细!D$2:D$154,F18,能力明细!P$2:P$154,"测试中")</f>
        <v>0</v>
      </c>
      <c r="L18" s="4">
        <f>COUNTIFS(能力明细!D$2:D$154,F18,能力明细!P$2:P$154,"已完成")</f>
        <v>0</v>
      </c>
    </row>
    <row r="19" ht="16.5" spans="1:12">
      <c r="A19" s="4" t="s">
        <v>35</v>
      </c>
      <c r="B19" s="4">
        <f>COUNTIF(能力明细!P$2:P$154,A19)</f>
        <v>0</v>
      </c>
      <c r="C19" s="24">
        <f>IF(COUNTA(能力明细!P$2:P$154)=0,0,B19/COUNTA(能力明细!P$2:P$154))</f>
        <v>0</v>
      </c>
      <c r="D19" s="25" t="s">
        <v>100</v>
      </c>
      <c r="F19" s="5" t="s">
        <v>101</v>
      </c>
      <c r="G19" s="4">
        <f>COUNTIF(能力明细!D$2:D$154,F19)</f>
        <v>13</v>
      </c>
      <c r="H19" s="4">
        <f>COUNTIFS(能力明细!D$2:D$154,F19,能力明细!P$2:P$154,"待开发")</f>
        <v>13</v>
      </c>
      <c r="I19" s="4">
        <f>COUNTIFS(能力明细!D$2:D$154,F19,能力明细!P$2:P$154,"开发中")</f>
        <v>0</v>
      </c>
      <c r="J19" s="4">
        <f>COUNTIFS(能力明细!D$2:D$154,F19,能力明细!P$2:P$154,"对接中")</f>
        <v>0</v>
      </c>
      <c r="K19" s="4">
        <f>COUNTIFS(能力明细!D$2:D$154,F19,能力明细!P$2:P$154,"测试中")</f>
        <v>0</v>
      </c>
      <c r="L19" s="4">
        <f>COUNTIFS(能力明细!D$2:D$154,F19,能力明细!P$2:P$154,"已完成")</f>
        <v>0</v>
      </c>
    </row>
    <row r="20" ht="16.5" spans="1:12">
      <c r="F20" s="5" t="s">
        <v>102</v>
      </c>
      <c r="G20" s="4">
        <f>COUNTIF(能力明细!D$2:D$154,F20)</f>
        <v>8</v>
      </c>
      <c r="H20" s="4">
        <f>COUNTIFS(能力明细!D$2:D$154,F20,能力明细!P$2:P$154,"待开发")</f>
        <v>8</v>
      </c>
      <c r="I20" s="4">
        <f>COUNTIFS(能力明细!D$2:D$154,F20,能力明细!P$2:P$154,"开发中")</f>
        <v>0</v>
      </c>
      <c r="J20" s="4">
        <f>COUNTIFS(能力明细!D$2:D$154,F20,能力明细!P$2:P$154,"对接中")</f>
        <v>0</v>
      </c>
      <c r="K20" s="4">
        <f>COUNTIFS(能力明细!D$2:D$154,F20,能力明细!P$2:P$154,"测试中")</f>
        <v>0</v>
      </c>
      <c r="L20" s="4">
        <f>COUNTIFS(能力明细!D$2:D$154,F20,能力明细!P$2:P$154,"已完成")</f>
        <v>0</v>
      </c>
    </row>
    <row r="21" ht="16.5" spans="1:12">
      <c r="F21" s="5" t="s">
        <v>103</v>
      </c>
      <c r="G21" s="4">
        <f>COUNTIF(能力明细!D$2:D$154,F21)</f>
        <v>7</v>
      </c>
      <c r="H21" s="4">
        <f>COUNTIFS(能力明细!D$2:D$154,F21,能力明细!P$2:P$154,"待开发")</f>
        <v>7</v>
      </c>
      <c r="I21" s="4">
        <f>COUNTIFS(能力明细!D$2:D$154,F21,能力明细!P$2:P$154,"开发中")</f>
        <v>0</v>
      </c>
      <c r="J21" s="4">
        <f>COUNTIFS(能力明细!D$2:D$154,F21,能力明细!P$2:P$154,"对接中")</f>
        <v>0</v>
      </c>
      <c r="K21" s="4">
        <f>COUNTIFS(能力明细!D$2:D$154,F21,能力明细!P$2:P$154,"测试中")</f>
        <v>0</v>
      </c>
      <c r="L21" s="4">
        <f>COUNTIFS(能力明细!D$2:D$154,F21,能力明细!P$2:P$154,"已完成")</f>
        <v>0</v>
      </c>
    </row>
    <row r="22" ht="16.5" spans="1:12">
      <c r="F22" s="5" t="s">
        <v>104</v>
      </c>
      <c r="G22" s="4">
        <f>COUNTIF(能力明细!D$2:D$154,F22)</f>
        <v>3</v>
      </c>
      <c r="H22" s="4">
        <f>COUNTIFS(能力明细!D$2:D$154,F22,能力明细!P$2:P$154,"待开发")</f>
        <v>3</v>
      </c>
      <c r="I22" s="4">
        <f>COUNTIFS(能力明细!D$2:D$154,F22,能力明细!P$2:P$154,"开发中")</f>
        <v>0</v>
      </c>
      <c r="J22" s="4">
        <f>COUNTIFS(能力明细!D$2:D$154,F22,能力明细!P$2:P$154,"对接中")</f>
        <v>0</v>
      </c>
      <c r="K22" s="4">
        <f>COUNTIFS(能力明细!D$2:D$154,F22,能力明细!P$2:P$154,"测试中")</f>
        <v>0</v>
      </c>
      <c r="L22" s="4">
        <f>COUNTIFS(能力明细!D$2:D$154,F22,能力明细!P$2:P$154,"已完成")</f>
        <v>0</v>
      </c>
    </row>
    <row r="23" ht="16.5" spans="1:12">
      <c r="F23" s="5" t="s">
        <v>105</v>
      </c>
      <c r="G23" s="4">
        <f>COUNTIF(能力明细!D$2:D$154,F23)</f>
        <v>4</v>
      </c>
      <c r="H23" s="4">
        <f>COUNTIFS(能力明细!D$2:D$154,F23,能力明细!P$2:P$154,"待开发")</f>
        <v>4</v>
      </c>
      <c r="I23" s="4">
        <f>COUNTIFS(能力明细!D$2:D$154,F23,能力明细!P$2:P$154,"开发中")</f>
        <v>0</v>
      </c>
      <c r="J23" s="4">
        <f>COUNTIFS(能力明细!D$2:D$154,F23,能力明细!P$2:P$154,"对接中")</f>
        <v>0</v>
      </c>
      <c r="K23" s="4">
        <f>COUNTIFS(能力明细!D$2:D$154,F23,能力明细!P$2:P$154,"测试中")</f>
        <v>0</v>
      </c>
      <c r="L23" s="4">
        <f>COUNTIFS(能力明细!D$2:D$154,F23,能力明细!P$2:P$154,"已完成")</f>
        <v>0</v>
      </c>
    </row>
    <row r="24" ht="16.5" spans="1:12">
      <c r="F24" s="5" t="s">
        <v>106</v>
      </c>
      <c r="G24" s="4">
        <f>COUNTIF(能力明细!D$2:D$154,F24)</f>
        <v>7</v>
      </c>
      <c r="H24" s="4">
        <f>COUNTIFS(能力明细!D$2:D$154,F24,能力明细!P$2:P$154,"待开发")</f>
        <v>7</v>
      </c>
      <c r="I24" s="4">
        <f>COUNTIFS(能力明细!D$2:D$154,F24,能力明细!P$2:P$154,"开发中")</f>
        <v>0</v>
      </c>
      <c r="J24" s="4">
        <f>COUNTIFS(能力明细!D$2:D$154,F24,能力明细!P$2:P$154,"对接中")</f>
        <v>0</v>
      </c>
      <c r="K24" s="4">
        <f>COUNTIFS(能力明细!D$2:D$154,F24,能力明细!P$2:P$154,"测试中")</f>
        <v>0</v>
      </c>
      <c r="L24" s="4">
        <f>COUNTIFS(能力明细!D$2:D$154,F24,能力明细!P$2:P$154,"已完成")</f>
        <v>0</v>
      </c>
    </row>
    <row r="25" ht="16.5" spans="1:12">
      <c r="F25" s="5" t="s">
        <v>107</v>
      </c>
      <c r="G25" s="4">
        <f>COUNTIF(能力明细!D$2:D$154,F25)</f>
        <v>8</v>
      </c>
      <c r="H25" s="4">
        <f>COUNTIFS(能力明细!D$2:D$154,F25,能力明细!P$2:P$154,"待开发")</f>
        <v>8</v>
      </c>
      <c r="I25" s="4">
        <f>COUNTIFS(能力明细!D$2:D$154,F25,能力明细!P$2:P$154,"开发中")</f>
        <v>0</v>
      </c>
      <c r="J25" s="4">
        <f>COUNTIFS(能力明细!D$2:D$154,F25,能力明细!P$2:P$154,"对接中")</f>
        <v>0</v>
      </c>
      <c r="K25" s="4">
        <f>COUNTIFS(能力明细!D$2:D$154,F25,能力明细!P$2:P$154,"测试中")</f>
        <v>0</v>
      </c>
      <c r="L25" s="4">
        <f>COUNTIFS(能力明细!D$2:D$154,F25,能力明细!P$2:P$154,"已完成")</f>
        <v>0</v>
      </c>
    </row>
    <row r="26" ht="16.5" spans="1:12">
      <c r="F26" s="5" t="s">
        <v>108</v>
      </c>
      <c r="G26" s="4">
        <f>COUNTIF(能力明细!D$2:D$154,F26)</f>
        <v>6</v>
      </c>
      <c r="H26" s="4">
        <f>COUNTIFS(能力明细!D$2:D$154,F26,能力明细!P$2:P$154,"待开发")</f>
        <v>6</v>
      </c>
      <c r="I26" s="4">
        <f>COUNTIFS(能力明细!D$2:D$154,F26,能力明细!P$2:P$154,"开发中")</f>
        <v>0</v>
      </c>
      <c r="J26" s="4">
        <f>COUNTIFS(能力明细!D$2:D$154,F26,能力明细!P$2:P$154,"对接中")</f>
        <v>0</v>
      </c>
      <c r="K26" s="4">
        <f>COUNTIFS(能力明细!D$2:D$154,F26,能力明细!P$2:P$154,"测试中")</f>
        <v>0</v>
      </c>
      <c r="L26" s="4">
        <f>COUNTIFS(能力明细!D$2:D$154,F26,能力明细!P$2:P$154,"已完成")</f>
        <v>0</v>
      </c>
    </row>
    <row r="27" ht="16.5" spans="1:12">
      <c r="F27" s="5" t="s">
        <v>109</v>
      </c>
      <c r="G27" s="4">
        <f>COUNTIF(能力明细!D$2:D$154,F27)</f>
        <v>7</v>
      </c>
      <c r="H27" s="4">
        <f>COUNTIFS(能力明细!D$2:D$154,F27,能力明细!P$2:P$154,"待开发")</f>
        <v>7</v>
      </c>
      <c r="I27" s="4">
        <f>COUNTIFS(能力明细!D$2:D$154,F27,能力明细!P$2:P$154,"开发中")</f>
        <v>0</v>
      </c>
      <c r="J27" s="4">
        <f>COUNTIFS(能力明细!D$2:D$154,F27,能力明细!P$2:P$154,"对接中")</f>
        <v>0</v>
      </c>
      <c r="K27" s="4">
        <f>COUNTIFS(能力明细!D$2:D$154,F27,能力明细!P$2:P$154,"测试中")</f>
        <v>0</v>
      </c>
      <c r="L27" s="4">
        <f>COUNTIFS(能力明细!D$2:D$154,F27,能力明细!P$2:P$154,"已完成")</f>
        <v>0</v>
      </c>
    </row>
    <row r="28" ht="16.5" spans="1:12">
      <c r="F28" s="5" t="s">
        <v>110</v>
      </c>
      <c r="G28" s="4">
        <f>COUNTIF(能力明细!D$2:D$154,F28)</f>
        <v>7</v>
      </c>
      <c r="H28" s="4">
        <f>COUNTIFS(能力明细!D$2:D$154,F28,能力明细!P$2:P$154,"待开发")</f>
        <v>7</v>
      </c>
      <c r="I28" s="4">
        <f>COUNTIFS(能力明细!D$2:D$154,F28,能力明细!P$2:P$154,"开发中")</f>
        <v>0</v>
      </c>
      <c r="J28" s="4">
        <f>COUNTIFS(能力明细!D$2:D$154,F28,能力明细!P$2:P$154,"对接中")</f>
        <v>0</v>
      </c>
      <c r="K28" s="4">
        <f>COUNTIFS(能力明细!D$2:D$154,F28,能力明细!P$2:P$154,"测试中")</f>
        <v>0</v>
      </c>
      <c r="L28" s="4">
        <f>COUNTIFS(能力明细!D$2:D$154,F28,能力明细!P$2:P$154,"已完成")</f>
        <v>0</v>
      </c>
    </row>
    <row r="29" ht="16.5" spans="1:12">
      <c r="F29" s="5" t="s">
        <v>111</v>
      </c>
      <c r="G29" s="4">
        <f>COUNTIF(能力明细!D$2:D$154,F29)</f>
        <v>3</v>
      </c>
      <c r="H29" s="4">
        <f>COUNTIFS(能力明细!D$2:D$154,F29,能力明细!P$2:P$154,"待开发")</f>
        <v>3</v>
      </c>
      <c r="I29" s="4">
        <f>COUNTIFS(能力明细!D$2:D$154,F29,能力明细!P$2:P$154,"开发中")</f>
        <v>0</v>
      </c>
      <c r="J29" s="4">
        <f>COUNTIFS(能力明细!D$2:D$154,F29,能力明细!P$2:P$154,"对接中")</f>
        <v>0</v>
      </c>
      <c r="K29" s="4">
        <f>COUNTIFS(能力明细!D$2:D$154,F29,能力明细!P$2:P$154,"测试中")</f>
        <v>0</v>
      </c>
      <c r="L29" s="4">
        <f>COUNTIFS(能力明细!D$2:D$154,F29,能力明细!P$2:P$154,"已完成")</f>
        <v>0</v>
      </c>
    </row>
    <row r="30" ht="16.5" spans="1:12">
      <c r="F30" s="5" t="s">
        <v>112</v>
      </c>
      <c r="G30" s="4">
        <f>COUNTIF(能力明细!D$2:D$154,F30)</f>
        <v>11</v>
      </c>
      <c r="H30" s="4">
        <f>COUNTIFS(能力明细!D$2:D$154,F30,能力明细!P$2:P$154,"待开发")</f>
        <v>11</v>
      </c>
      <c r="I30" s="4">
        <f>COUNTIFS(能力明细!D$2:D$154,F30,能力明细!P$2:P$154,"开发中")</f>
        <v>0</v>
      </c>
      <c r="J30" s="4">
        <f>COUNTIFS(能力明细!D$2:D$154,F30,能力明细!P$2:P$154,"对接中")</f>
        <v>0</v>
      </c>
      <c r="K30" s="4">
        <f>COUNTIFS(能力明细!D$2:D$154,F30,能力明细!P$2:P$154,"测试中")</f>
        <v>0</v>
      </c>
      <c r="L30" s="4">
        <f>COUNTIFS(能力明细!D$2:D$154,F30,能力明细!P$2:P$154,"已完成")</f>
        <v>0</v>
      </c>
    </row>
    <row r="31" ht="16.5" spans="1:12">
      <c r="F31" s="5" t="s">
        <v>113</v>
      </c>
      <c r="G31" s="4">
        <f>COUNTIF(能力明细!D$2:D$154,F31)</f>
        <v>6</v>
      </c>
      <c r="H31" s="4">
        <f>COUNTIFS(能力明细!D$2:D$154,F31,能力明细!P$2:P$154,"待开发")</f>
        <v>6</v>
      </c>
      <c r="I31" s="4">
        <f>COUNTIFS(能力明细!D$2:D$154,F31,能力明细!P$2:P$154,"开发中")</f>
        <v>0</v>
      </c>
      <c r="J31" s="4">
        <f>COUNTIFS(能力明细!D$2:D$154,F31,能力明细!P$2:P$154,"对接中")</f>
        <v>0</v>
      </c>
      <c r="K31" s="4">
        <f>COUNTIFS(能力明细!D$2:D$154,F31,能力明细!P$2:P$154,"测试中")</f>
        <v>0</v>
      </c>
      <c r="L31" s="4">
        <f>COUNTIFS(能力明细!D$2:D$154,F31,能力明细!P$2:P$154,"已完成")</f>
        <v>0</v>
      </c>
    </row>
    <row r="32" ht="16.5" spans="1:12">
      <c r="F32" s="26" t="s">
        <v>114</v>
      </c>
      <c r="G32" s="23">
        <f t="shared" ref="G32:L32" si="0">SUM(G10:G31)</f>
        <v>153</v>
      </c>
      <c r="H32" s="23">
        <f t="shared" si="0"/>
        <v>151</v>
      </c>
      <c r="I32" s="23">
        <f t="shared" si="0"/>
        <v>2</v>
      </c>
      <c r="J32" s="23">
        <f t="shared" si="0"/>
        <v>0</v>
      </c>
      <c r="K32" s="23">
        <f t="shared" si="0"/>
        <v>0</v>
      </c>
      <c r="L32" s="23">
        <f t="shared" si="0"/>
        <v>0</v>
      </c>
    </row>
    <row r="34" ht="14.25" spans="1:8">
      <c r="F34" s="7" t="s">
        <v>115</v>
      </c>
    </row>
    <row r="36" ht="16.5" spans="1:8">
      <c r="A36" s="22" t="s">
        <v>116</v>
      </c>
      <c r="B36" s="22"/>
      <c r="C36" s="22"/>
      <c r="D36" s="22"/>
      <c r="E36" s="22"/>
      <c r="F36" s="22"/>
      <c r="G36" s="22"/>
      <c r="H36" s="22"/>
    </row>
    <row r="37" ht="16.5" spans="1:8">
      <c r="A37" s="23" t="s">
        <v>117</v>
      </c>
      <c r="B37" s="23" t="s">
        <v>118</v>
      </c>
      <c r="C37" s="23" t="s">
        <v>80</v>
      </c>
      <c r="D37" s="23" t="s">
        <v>41</v>
      </c>
      <c r="E37" s="23" t="s">
        <v>43</v>
      </c>
      <c r="F37" s="23" t="s">
        <v>45</v>
      </c>
      <c r="G37" s="23" t="s">
        <v>47</v>
      </c>
      <c r="H37" s="23" t="s">
        <v>31</v>
      </c>
    </row>
    <row r="38" ht="16.5" spans="1:8">
      <c r="A38" s="4" t="s">
        <v>119</v>
      </c>
      <c r="B38" s="4" t="s">
        <v>120</v>
      </c>
      <c r="C38" s="4">
        <f>COUNTIF(能力明细!B$2:B$154,A38)</f>
        <v>8</v>
      </c>
      <c r="D38" s="4">
        <f>COUNTIFS(能力明细!B$2:B$154,A38,能力明细!P$2:P$154,"待开发")</f>
        <v>6</v>
      </c>
      <c r="E38" s="4">
        <f>COUNTIFS(能力明细!B$2:B$154,A38,能力明细!P$2:P$154,"开发中")</f>
        <v>2</v>
      </c>
      <c r="F38" s="4">
        <f>COUNTIFS(能力明细!B$2:B$154,A38,能力明细!P$2:P$154,"对接中")</f>
        <v>0</v>
      </c>
      <c r="G38" s="4">
        <f>COUNTIFS(能力明细!B$2:B$154,A38,能力明细!P$2:P$154,"测试中")</f>
        <v>0</v>
      </c>
      <c r="H38" s="4">
        <f>COUNTIFS(能力明细!B$2:B$154,A38,能力明细!P$2:P$154,"已完成")</f>
        <v>0</v>
      </c>
    </row>
    <row r="39" ht="16.5" spans="1:8">
      <c r="A39" s="4" t="s">
        <v>121</v>
      </c>
      <c r="B39" s="4" t="s">
        <v>122</v>
      </c>
      <c r="C39" s="4">
        <f>COUNTIF(能力明细!B$2:B$154,A39)</f>
        <v>57</v>
      </c>
      <c r="D39" s="4">
        <f>COUNTIFS(能力明细!B$2:B$154,A39,能力明细!P$2:P$154,"待开发")</f>
        <v>57</v>
      </c>
      <c r="E39" s="4">
        <f>COUNTIFS(能力明细!B$2:B$154,A39,能力明细!P$2:P$154,"开发中")</f>
        <v>0</v>
      </c>
      <c r="F39" s="4">
        <f>COUNTIFS(能力明细!B$2:B$154,A39,能力明细!P$2:P$154,"对接中")</f>
        <v>0</v>
      </c>
      <c r="G39" s="4">
        <f>COUNTIFS(能力明细!B$2:B$154,A39,能力明细!P$2:P$154,"测试中")</f>
        <v>0</v>
      </c>
      <c r="H39" s="4">
        <f>COUNTIFS(能力明细!B$2:B$154,A39,能力明细!P$2:P$154,"已完成")</f>
        <v>0</v>
      </c>
    </row>
    <row r="40" ht="16.5" spans="1:8">
      <c r="A40" s="4" t="s">
        <v>123</v>
      </c>
      <c r="B40" s="4" t="s">
        <v>124</v>
      </c>
      <c r="C40" s="4">
        <f>COUNTIF(能力明细!B$2:B$154,A40)</f>
        <v>43</v>
      </c>
      <c r="D40" s="4">
        <f>COUNTIFS(能力明细!B$2:B$154,A40,能力明细!P$2:P$154,"待开发")</f>
        <v>43</v>
      </c>
      <c r="E40" s="4">
        <f>COUNTIFS(能力明细!B$2:B$154,A40,能力明细!P$2:P$154,"开发中")</f>
        <v>0</v>
      </c>
      <c r="F40" s="4">
        <f>COUNTIFS(能力明细!B$2:B$154,A40,能力明细!P$2:P$154,"对接中")</f>
        <v>0</v>
      </c>
      <c r="G40" s="4">
        <f>COUNTIFS(能力明细!B$2:B$154,A40,能力明细!P$2:P$154,"测试中")</f>
        <v>0</v>
      </c>
      <c r="H40" s="4">
        <f>COUNTIFS(能力明细!B$2:B$154,A40,能力明细!P$2:P$154,"已完成")</f>
        <v>0</v>
      </c>
    </row>
    <row r="41" ht="16.5" spans="1:8">
      <c r="A41" s="4" t="s">
        <v>125</v>
      </c>
      <c r="B41" s="4" t="s">
        <v>126</v>
      </c>
      <c r="C41" s="4">
        <f>COUNTIF(能力明细!B$2:B$154,A41)</f>
        <v>14</v>
      </c>
      <c r="D41" s="4">
        <f>COUNTIFS(能力明细!B$2:B$154,A41,能力明细!P$2:P$154,"待开发")</f>
        <v>14</v>
      </c>
      <c r="E41" s="4">
        <f>COUNTIFS(能力明细!B$2:B$154,A41,能力明细!P$2:P$154,"开发中")</f>
        <v>0</v>
      </c>
      <c r="F41" s="4">
        <f>COUNTIFS(能力明细!B$2:B$154,A41,能力明细!P$2:P$154,"对接中")</f>
        <v>0</v>
      </c>
      <c r="G41" s="4">
        <f>COUNTIFS(能力明细!B$2:B$154,A41,能力明细!P$2:P$154,"测试中")</f>
        <v>0</v>
      </c>
      <c r="H41" s="4">
        <f>COUNTIFS(能力明细!B$2:B$154,A41,能力明细!P$2:P$154,"已完成")</f>
        <v>0</v>
      </c>
    </row>
    <row r="42" ht="16.5" spans="1:8">
      <c r="A42" s="4" t="s">
        <v>127</v>
      </c>
      <c r="B42" s="4" t="s">
        <v>128</v>
      </c>
      <c r="C42" s="4">
        <f>COUNTIF(能力明细!B$2:B$154,A42)</f>
        <v>25</v>
      </c>
      <c r="D42" s="4">
        <f>COUNTIFS(能力明细!B$2:B$154,A42,能力明细!P$2:P$154,"待开发")</f>
        <v>25</v>
      </c>
      <c r="E42" s="4">
        <f>COUNTIFS(能力明细!B$2:B$154,A42,能力明细!P$2:P$154,"开发中")</f>
        <v>0</v>
      </c>
      <c r="F42" s="4">
        <f>COUNTIFS(能力明细!B$2:B$154,A42,能力明细!P$2:P$154,"对接中")</f>
        <v>0</v>
      </c>
      <c r="G42" s="4">
        <f>COUNTIFS(能力明细!B$2:B$154,A42,能力明细!P$2:P$154,"测试中")</f>
        <v>0</v>
      </c>
      <c r="H42" s="4">
        <f>COUNTIFS(能力明细!B$2:B$154,A42,能力明细!P$2:P$154,"已完成")</f>
        <v>0</v>
      </c>
    </row>
    <row r="43" ht="16.5" spans="1:8">
      <c r="A43" s="4" t="s">
        <v>129</v>
      </c>
      <c r="B43" s="4" t="s">
        <v>130</v>
      </c>
      <c r="C43" s="4">
        <f>COUNTIF(能力明细!B$2:B$154,A43)</f>
        <v>6</v>
      </c>
      <c r="D43" s="4">
        <f>COUNTIFS(能力明细!B$2:B$154,A43,能力明细!P$2:P$154,"待开发")</f>
        <v>6</v>
      </c>
      <c r="E43" s="4">
        <f>COUNTIFS(能力明细!B$2:B$154,A43,能力明细!P$2:P$154,"开发中")</f>
        <v>0</v>
      </c>
      <c r="F43" s="4">
        <f>COUNTIFS(能力明细!B$2:B$154,A43,能力明细!P$2:P$154,"对接中")</f>
        <v>0</v>
      </c>
      <c r="G43" s="4">
        <f>COUNTIFS(能力明细!B$2:B$154,A43,能力明细!P$2:P$154,"测试中")</f>
        <v>0</v>
      </c>
      <c r="H43" s="4">
        <f>COUNTIFS(能力明细!B$2:B$154,A43,能力明细!P$2:P$154,"已完成")</f>
        <v>0</v>
      </c>
    </row>
  </sheetData>
  <mergeCells count="2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D8"/>
    <mergeCell ref="F8:L8"/>
    <mergeCell ref="F34:L34"/>
    <mergeCell ref="A36:H3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4F"/>
    <pageSetUpPr fitToPage="1"/>
  </sheetPr>
  <dimension ref="A1:W154"/>
  <sheetViews>
    <sheetView tabSelected="1" workbookViewId="0">
      <pane ySplit="1" topLeftCell="A2" activePane="bottomLeft" state="frozen"/>
      <selection/>
      <selection pane="bottomLeft" activeCell="L7" sqref="L7"/>
    </sheetView>
  </sheetViews>
  <sheetFormatPr defaultColWidth="9" defaultRowHeight="13.5"/>
  <cols>
    <col min="1" max="1" width="11" customWidth="1"/>
    <col min="2" max="3" width="10" customWidth="1"/>
    <col min="4" max="4" width="16" customWidth="1"/>
    <col min="5" max="5" width="22" customWidth="1"/>
    <col min="6" max="6" width="24" customWidth="1"/>
    <col min="7" max="7" width="52" customWidth="1"/>
    <col min="8" max="8" width="42" customWidth="1"/>
    <col min="9" max="9" width="8" customWidth="1"/>
    <col min="10" max="14" width="12" customWidth="1"/>
    <col min="15" max="15" width="10" customWidth="1"/>
    <col min="16" max="21" width="12" customWidth="1"/>
    <col min="22" max="22" width="22" customWidth="1"/>
    <col min="23" max="23" width="40" customWidth="1"/>
  </cols>
  <sheetData>
    <row r="1" ht="28" customHeight="1" spans="1:23">
      <c r="A1" s="3" t="s">
        <v>131</v>
      </c>
      <c r="B1" s="3" t="s">
        <v>132</v>
      </c>
      <c r="C1" s="3" t="s">
        <v>118</v>
      </c>
      <c r="D1" s="3" t="s">
        <v>79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58</v>
      </c>
      <c r="J1" s="3" t="s">
        <v>14</v>
      </c>
      <c r="K1" s="3" t="s">
        <v>16</v>
      </c>
      <c r="L1" s="3" t="s">
        <v>18</v>
      </c>
      <c r="M1" s="3" t="s">
        <v>20</v>
      </c>
      <c r="N1" s="3" t="s">
        <v>22</v>
      </c>
      <c r="O1" s="3" t="s">
        <v>24</v>
      </c>
      <c r="P1" s="3" t="s">
        <v>77</v>
      </c>
      <c r="Q1" s="3" t="s">
        <v>137</v>
      </c>
      <c r="R1" s="3" t="s">
        <v>138</v>
      </c>
      <c r="S1" s="3" t="s">
        <v>139</v>
      </c>
      <c r="T1" s="3" t="s">
        <v>140</v>
      </c>
      <c r="U1" s="3" t="s">
        <v>141</v>
      </c>
      <c r="V1" s="3" t="s">
        <v>142</v>
      </c>
      <c r="W1" s="3" t="s">
        <v>143</v>
      </c>
    </row>
    <row r="2" ht="36" customHeight="1" spans="1:23">
      <c r="A2" s="4" t="s">
        <v>144</v>
      </c>
      <c r="B2" s="8" t="s">
        <v>119</v>
      </c>
      <c r="C2" s="4" t="s">
        <v>120</v>
      </c>
      <c r="D2" s="5" t="s">
        <v>82</v>
      </c>
      <c r="E2" s="5" t="s">
        <v>145</v>
      </c>
      <c r="F2" s="5" t="s">
        <v>146</v>
      </c>
      <c r="G2" s="5" t="s">
        <v>147</v>
      </c>
      <c r="H2" s="4" t="s">
        <v>148</v>
      </c>
      <c r="I2" s="9" t="s">
        <v>149</v>
      </c>
      <c r="J2" s="4" t="s">
        <v>35</v>
      </c>
      <c r="K2" s="4" t="s">
        <v>35</v>
      </c>
      <c r="L2" s="4" t="s">
        <v>27</v>
      </c>
      <c r="M2" s="4" t="s">
        <v>27</v>
      </c>
      <c r="N2" s="4" t="s">
        <v>27</v>
      </c>
      <c r="O2" s="4" t="s">
        <v>27</v>
      </c>
      <c r="P2" s="6" t="str">
        <f t="shared" ref="P2:P65" si="0">IF(COUNTIF(J2:O2,"阻塞")&gt;0,"阻塞",IF(COUNTIFS(J2:O2,"&lt;&gt;已完成",J2:O2,"&lt;&gt;不适用")=0,"已完成",IF(OR(O2="进行中",AND(OR(L2="已完成",L2="不适用"),OR(M2="已完成",M2="不适用"),OR(N2="已完成",N2="不适用"),AND(O2&lt;&gt;"已完成",O2&lt;&gt;"不适用"),OR(L2="已完成",M2="已完成",N2="已完成"))),"测试中",IF(OR(N2="进行中",AND(OR(L2="已完成",L2="不适用"),OR(M2="已完成",M2="不适用"),AND(N2&lt;&gt;"已完成",N2&lt;&gt;"不适用"),OR(L2="已完成",M2="已完成"))),"对接中",IF(OR(L2="进行中",L2="已完成",M2="进行中",M2="已完成"),"开发中",IF(AND(OR(J2="已完成",J2="不适用"),OR(K2="已完成",K2="不适用")),"待开发",IF(K2="进行中","UI设计中",IF(OR(J2="进行中",J2="已完成"),"原型中","未开始"))))))))</f>
        <v>待开发</v>
      </c>
      <c r="Q2" s="5" t="s">
        <v>150</v>
      </c>
      <c r="R2" s="5" t="s">
        <v>150</v>
      </c>
      <c r="S2" s="5" t="s">
        <v>150</v>
      </c>
      <c r="T2" s="5" t="s">
        <v>150</v>
      </c>
      <c r="U2" s="5" t="s">
        <v>150</v>
      </c>
      <c r="V2" s="5" t="s">
        <v>150</v>
      </c>
      <c r="W2" s="5" t="s">
        <v>151</v>
      </c>
    </row>
    <row r="3" ht="36" customHeight="1" spans="1:23">
      <c r="A3" s="4" t="s">
        <v>152</v>
      </c>
      <c r="B3" s="8" t="s">
        <v>119</v>
      </c>
      <c r="C3" s="4" t="s">
        <v>120</v>
      </c>
      <c r="D3" s="5" t="s">
        <v>82</v>
      </c>
      <c r="E3" s="5" t="s">
        <v>145</v>
      </c>
      <c r="F3" s="5" t="s">
        <v>153</v>
      </c>
      <c r="G3" s="5" t="s">
        <v>154</v>
      </c>
      <c r="H3" s="4" t="s">
        <v>148</v>
      </c>
      <c r="I3" s="9" t="s">
        <v>149</v>
      </c>
      <c r="J3" s="4" t="s">
        <v>35</v>
      </c>
      <c r="K3" s="4" t="s">
        <v>35</v>
      </c>
      <c r="L3" s="4" t="s">
        <v>27</v>
      </c>
      <c r="M3" s="4" t="s">
        <v>27</v>
      </c>
      <c r="N3" s="4" t="s">
        <v>27</v>
      </c>
      <c r="O3" s="4" t="s">
        <v>27</v>
      </c>
      <c r="P3" s="6" t="str">
        <f t="shared" si="0"/>
        <v>待开发</v>
      </c>
      <c r="Q3" s="5" t="s">
        <v>150</v>
      </c>
      <c r="R3" s="5" t="s">
        <v>150</v>
      </c>
      <c r="S3" s="5" t="s">
        <v>150</v>
      </c>
      <c r="T3" s="5" t="s">
        <v>150</v>
      </c>
      <c r="U3" s="5" t="s">
        <v>150</v>
      </c>
      <c r="V3" s="5" t="s">
        <v>150</v>
      </c>
      <c r="W3" s="5" t="s">
        <v>150</v>
      </c>
    </row>
    <row r="4" ht="36" customHeight="1" spans="1:23">
      <c r="A4" s="4" t="s">
        <v>155</v>
      </c>
      <c r="B4" s="8" t="s">
        <v>119</v>
      </c>
      <c r="C4" s="4" t="s">
        <v>120</v>
      </c>
      <c r="D4" s="5" t="s">
        <v>82</v>
      </c>
      <c r="E4" s="5" t="s">
        <v>145</v>
      </c>
      <c r="F4" s="5" t="s">
        <v>156</v>
      </c>
      <c r="G4" s="5" t="s">
        <v>157</v>
      </c>
      <c r="H4" s="4" t="s">
        <v>158</v>
      </c>
      <c r="I4" s="9" t="s">
        <v>149</v>
      </c>
      <c r="J4" s="4" t="s">
        <v>35</v>
      </c>
      <c r="K4" s="4" t="s">
        <v>35</v>
      </c>
      <c r="L4" s="4" t="s">
        <v>27</v>
      </c>
      <c r="M4" s="4" t="s">
        <v>27</v>
      </c>
      <c r="N4" s="4" t="s">
        <v>27</v>
      </c>
      <c r="O4" s="4" t="s">
        <v>27</v>
      </c>
      <c r="P4" s="6" t="str">
        <f t="shared" si="0"/>
        <v>待开发</v>
      </c>
      <c r="Q4" s="5" t="s">
        <v>150</v>
      </c>
      <c r="R4" s="5" t="s">
        <v>150</v>
      </c>
      <c r="S4" s="5" t="s">
        <v>150</v>
      </c>
      <c r="T4" s="5" t="s">
        <v>150</v>
      </c>
      <c r="U4" s="5" t="s">
        <v>150</v>
      </c>
      <c r="V4" s="5" t="s">
        <v>150</v>
      </c>
      <c r="W4" s="5" t="s">
        <v>150</v>
      </c>
    </row>
    <row r="5" ht="36" customHeight="1" spans="1:23">
      <c r="A5" s="4" t="s">
        <v>159</v>
      </c>
      <c r="B5" s="8" t="s">
        <v>119</v>
      </c>
      <c r="C5" s="4" t="s">
        <v>120</v>
      </c>
      <c r="D5" s="5" t="s">
        <v>82</v>
      </c>
      <c r="E5" s="5" t="s">
        <v>160</v>
      </c>
      <c r="F5" s="5" t="s">
        <v>161</v>
      </c>
      <c r="G5" s="5" t="s">
        <v>162</v>
      </c>
      <c r="H5" s="4" t="s">
        <v>158</v>
      </c>
      <c r="I5" s="9" t="s">
        <v>149</v>
      </c>
      <c r="J5" s="4" t="s">
        <v>31</v>
      </c>
      <c r="K5" s="4" t="s">
        <v>31</v>
      </c>
      <c r="L5" s="4" t="s">
        <v>27</v>
      </c>
      <c r="M5" s="4" t="s">
        <v>27</v>
      </c>
      <c r="N5" s="4" t="s">
        <v>27</v>
      </c>
      <c r="O5" s="4" t="s">
        <v>27</v>
      </c>
      <c r="P5" s="6" t="str">
        <f t="shared" si="0"/>
        <v>待开发</v>
      </c>
      <c r="Q5" s="5" t="s">
        <v>150</v>
      </c>
      <c r="R5" s="5" t="s">
        <v>150</v>
      </c>
      <c r="S5" s="5" t="s">
        <v>150</v>
      </c>
      <c r="T5" s="5" t="s">
        <v>150</v>
      </c>
      <c r="U5" s="5" t="s">
        <v>150</v>
      </c>
      <c r="V5" s="5" t="s">
        <v>150</v>
      </c>
      <c r="W5" s="5" t="s">
        <v>150</v>
      </c>
    </row>
    <row r="6" ht="36" customHeight="1" spans="1:23">
      <c r="A6" s="4" t="s">
        <v>163</v>
      </c>
      <c r="B6" s="8" t="s">
        <v>119</v>
      </c>
      <c r="C6" s="4" t="s">
        <v>120</v>
      </c>
      <c r="D6" s="5" t="s">
        <v>82</v>
      </c>
      <c r="E6" s="5" t="s">
        <v>160</v>
      </c>
      <c r="F6" s="5" t="s">
        <v>164</v>
      </c>
      <c r="G6" s="5" t="s">
        <v>165</v>
      </c>
      <c r="H6" s="4" t="s">
        <v>166</v>
      </c>
      <c r="I6" s="9" t="s">
        <v>149</v>
      </c>
      <c r="J6" s="4" t="s">
        <v>31</v>
      </c>
      <c r="K6" s="4" t="s">
        <v>31</v>
      </c>
      <c r="L6" s="4" t="s">
        <v>27</v>
      </c>
      <c r="M6" s="4" t="s">
        <v>27</v>
      </c>
      <c r="N6" s="4" t="s">
        <v>27</v>
      </c>
      <c r="O6" s="4" t="s">
        <v>27</v>
      </c>
      <c r="P6" s="6" t="str">
        <f t="shared" si="0"/>
        <v>待开发</v>
      </c>
      <c r="Q6" s="5" t="s">
        <v>150</v>
      </c>
      <c r="R6" s="5" t="s">
        <v>150</v>
      </c>
      <c r="S6" s="5" t="s">
        <v>150</v>
      </c>
      <c r="T6" s="5" t="s">
        <v>150</v>
      </c>
      <c r="U6" s="5" t="s">
        <v>150</v>
      </c>
      <c r="V6" s="5" t="s">
        <v>150</v>
      </c>
      <c r="W6" s="5" t="s">
        <v>150</v>
      </c>
    </row>
    <row r="7" ht="36" customHeight="1" spans="1:23">
      <c r="A7" s="4" t="s">
        <v>167</v>
      </c>
      <c r="B7" s="8" t="s">
        <v>119</v>
      </c>
      <c r="C7" s="4" t="s">
        <v>120</v>
      </c>
      <c r="D7" s="5" t="s">
        <v>82</v>
      </c>
      <c r="E7" s="5" t="s">
        <v>168</v>
      </c>
      <c r="F7" s="5" t="s">
        <v>169</v>
      </c>
      <c r="G7" s="5" t="s">
        <v>170</v>
      </c>
      <c r="H7" s="4" t="s">
        <v>148</v>
      </c>
      <c r="I7" s="9" t="s">
        <v>149</v>
      </c>
      <c r="J7" s="4" t="s">
        <v>31</v>
      </c>
      <c r="K7" s="4" t="s">
        <v>31</v>
      </c>
      <c r="L7" s="4" t="s">
        <v>31</v>
      </c>
      <c r="M7" s="4" t="s">
        <v>27</v>
      </c>
      <c r="N7" s="4" t="s">
        <v>27</v>
      </c>
      <c r="O7" s="4" t="s">
        <v>27</v>
      </c>
      <c r="P7" s="6" t="str">
        <f t="shared" si="0"/>
        <v>开发中</v>
      </c>
      <c r="Q7" s="5" t="s">
        <v>150</v>
      </c>
      <c r="R7" s="5" t="s">
        <v>150</v>
      </c>
      <c r="S7" s="5" t="s">
        <v>150</v>
      </c>
      <c r="T7" s="5" t="s">
        <v>150</v>
      </c>
      <c r="U7" s="5" t="s">
        <v>150</v>
      </c>
      <c r="V7" s="5" t="s">
        <v>150</v>
      </c>
      <c r="W7" s="5" t="s">
        <v>150</v>
      </c>
    </row>
    <row r="8" ht="36" customHeight="1" spans="1:23">
      <c r="A8" s="4" t="s">
        <v>171</v>
      </c>
      <c r="B8" s="8" t="s">
        <v>119</v>
      </c>
      <c r="C8" s="4" t="s">
        <v>120</v>
      </c>
      <c r="D8" s="5" t="s">
        <v>82</v>
      </c>
      <c r="E8" s="5" t="s">
        <v>168</v>
      </c>
      <c r="F8" s="5" t="s">
        <v>172</v>
      </c>
      <c r="G8" s="5" t="s">
        <v>173</v>
      </c>
      <c r="H8" s="4" t="s">
        <v>148</v>
      </c>
      <c r="I8" s="9" t="s">
        <v>149</v>
      </c>
      <c r="J8" s="4" t="s">
        <v>31</v>
      </c>
      <c r="K8" s="4" t="s">
        <v>31</v>
      </c>
      <c r="L8" s="4" t="s">
        <v>31</v>
      </c>
      <c r="M8" s="4" t="s">
        <v>27</v>
      </c>
      <c r="N8" s="4" t="s">
        <v>27</v>
      </c>
      <c r="O8" s="4" t="s">
        <v>27</v>
      </c>
      <c r="P8" s="6" t="str">
        <f t="shared" si="0"/>
        <v>开发中</v>
      </c>
      <c r="Q8" s="5" t="s">
        <v>150</v>
      </c>
      <c r="R8" s="5" t="s">
        <v>150</v>
      </c>
      <c r="S8" s="5" t="s">
        <v>150</v>
      </c>
      <c r="T8" s="5" t="s">
        <v>150</v>
      </c>
      <c r="U8" s="5" t="s">
        <v>150</v>
      </c>
      <c r="V8" s="5" t="s">
        <v>150</v>
      </c>
      <c r="W8" s="5" t="s">
        <v>150</v>
      </c>
    </row>
    <row r="9" ht="36" customHeight="1" spans="1:23">
      <c r="A9" s="4" t="s">
        <v>174</v>
      </c>
      <c r="B9" s="8" t="s">
        <v>119</v>
      </c>
      <c r="C9" s="4" t="s">
        <v>120</v>
      </c>
      <c r="D9" s="5" t="s">
        <v>82</v>
      </c>
      <c r="E9" s="5" t="s">
        <v>168</v>
      </c>
      <c r="F9" s="5" t="s">
        <v>175</v>
      </c>
      <c r="G9" s="5" t="s">
        <v>176</v>
      </c>
      <c r="H9" s="4" t="s">
        <v>148</v>
      </c>
      <c r="I9" s="9" t="s">
        <v>149</v>
      </c>
      <c r="J9" s="4" t="s">
        <v>35</v>
      </c>
      <c r="K9" s="4" t="s">
        <v>35</v>
      </c>
      <c r="L9" s="4" t="s">
        <v>27</v>
      </c>
      <c r="M9" s="4" t="s">
        <v>27</v>
      </c>
      <c r="N9" s="4" t="s">
        <v>27</v>
      </c>
      <c r="O9" s="4" t="s">
        <v>27</v>
      </c>
      <c r="P9" s="6" t="str">
        <f t="shared" si="0"/>
        <v>待开发</v>
      </c>
      <c r="Q9" s="5" t="s">
        <v>150</v>
      </c>
      <c r="R9" s="5" t="s">
        <v>150</v>
      </c>
      <c r="S9" s="5" t="s">
        <v>150</v>
      </c>
      <c r="T9" s="5" t="s">
        <v>150</v>
      </c>
      <c r="U9" s="5" t="s">
        <v>150</v>
      </c>
      <c r="V9" s="5" t="s">
        <v>150</v>
      </c>
      <c r="W9" s="5" t="s">
        <v>150</v>
      </c>
    </row>
    <row r="10" ht="36" customHeight="1" spans="1:23">
      <c r="A10" s="4" t="s">
        <v>177</v>
      </c>
      <c r="B10" s="10" t="s">
        <v>121</v>
      </c>
      <c r="C10" s="4" t="s">
        <v>122</v>
      </c>
      <c r="D10" s="5" t="s">
        <v>82</v>
      </c>
      <c r="E10" s="5" t="s">
        <v>178</v>
      </c>
      <c r="F10" s="5" t="s">
        <v>179</v>
      </c>
      <c r="G10" s="5" t="s">
        <v>180</v>
      </c>
      <c r="H10" s="4" t="s">
        <v>181</v>
      </c>
      <c r="I10" s="9" t="s">
        <v>149</v>
      </c>
      <c r="J10" s="4" t="s">
        <v>31</v>
      </c>
      <c r="K10" s="4" t="s">
        <v>31</v>
      </c>
      <c r="L10" s="4" t="s">
        <v>27</v>
      </c>
      <c r="M10" s="4" t="s">
        <v>27</v>
      </c>
      <c r="N10" s="4" t="s">
        <v>27</v>
      </c>
      <c r="O10" s="4" t="s">
        <v>27</v>
      </c>
      <c r="P10" s="6" t="str">
        <f t="shared" si="0"/>
        <v>待开发</v>
      </c>
      <c r="Q10" s="5" t="s">
        <v>150</v>
      </c>
      <c r="R10" s="5" t="s">
        <v>150</v>
      </c>
      <c r="S10" s="5" t="s">
        <v>150</v>
      </c>
      <c r="T10" s="5" t="s">
        <v>150</v>
      </c>
      <c r="U10" s="5" t="s">
        <v>150</v>
      </c>
      <c r="V10" s="5" t="s">
        <v>150</v>
      </c>
      <c r="W10" s="5" t="s">
        <v>150</v>
      </c>
    </row>
    <row r="11" ht="36" customHeight="1" spans="1:23">
      <c r="A11" s="4" t="s">
        <v>182</v>
      </c>
      <c r="B11" s="10" t="s">
        <v>121</v>
      </c>
      <c r="C11" s="4" t="s">
        <v>122</v>
      </c>
      <c r="D11" s="5" t="s">
        <v>82</v>
      </c>
      <c r="E11" s="5" t="s">
        <v>178</v>
      </c>
      <c r="F11" s="5" t="s">
        <v>183</v>
      </c>
      <c r="G11" s="5" t="s">
        <v>184</v>
      </c>
      <c r="H11" s="4" t="s">
        <v>148</v>
      </c>
      <c r="I11" s="9" t="s">
        <v>149</v>
      </c>
      <c r="J11" s="4" t="s">
        <v>31</v>
      </c>
      <c r="K11" s="4" t="s">
        <v>31</v>
      </c>
      <c r="L11" s="4" t="s">
        <v>27</v>
      </c>
      <c r="M11" s="4" t="s">
        <v>27</v>
      </c>
      <c r="N11" s="4" t="s">
        <v>27</v>
      </c>
      <c r="O11" s="4" t="s">
        <v>27</v>
      </c>
      <c r="P11" s="6" t="str">
        <f t="shared" si="0"/>
        <v>待开发</v>
      </c>
      <c r="Q11" s="5" t="s">
        <v>150</v>
      </c>
      <c r="R11" s="5" t="s">
        <v>150</v>
      </c>
      <c r="S11" s="5" t="s">
        <v>150</v>
      </c>
      <c r="T11" s="5" t="s">
        <v>150</v>
      </c>
      <c r="U11" s="5" t="s">
        <v>150</v>
      </c>
      <c r="V11" s="5" t="s">
        <v>150</v>
      </c>
      <c r="W11" s="5" t="s">
        <v>150</v>
      </c>
    </row>
    <row r="12" ht="36" customHeight="1" spans="1:23">
      <c r="A12" s="4" t="s">
        <v>185</v>
      </c>
      <c r="B12" s="10" t="s">
        <v>121</v>
      </c>
      <c r="C12" s="4" t="s">
        <v>122</v>
      </c>
      <c r="D12" s="5" t="s">
        <v>82</v>
      </c>
      <c r="E12" s="5" t="s">
        <v>178</v>
      </c>
      <c r="F12" s="5" t="s">
        <v>186</v>
      </c>
      <c r="G12" s="5" t="s">
        <v>187</v>
      </c>
      <c r="H12" s="4" t="s">
        <v>188</v>
      </c>
      <c r="I12" s="9" t="s">
        <v>149</v>
      </c>
      <c r="J12" s="4" t="s">
        <v>31</v>
      </c>
      <c r="K12" s="4" t="s">
        <v>31</v>
      </c>
      <c r="L12" s="4" t="s">
        <v>27</v>
      </c>
      <c r="M12" s="4" t="s">
        <v>27</v>
      </c>
      <c r="N12" s="4" t="s">
        <v>27</v>
      </c>
      <c r="O12" s="4" t="s">
        <v>27</v>
      </c>
      <c r="P12" s="6" t="str">
        <f t="shared" si="0"/>
        <v>待开发</v>
      </c>
      <c r="Q12" s="5" t="s">
        <v>150</v>
      </c>
      <c r="R12" s="5" t="s">
        <v>150</v>
      </c>
      <c r="S12" s="5" t="s">
        <v>150</v>
      </c>
      <c r="T12" s="5" t="s">
        <v>150</v>
      </c>
      <c r="U12" s="5" t="s">
        <v>150</v>
      </c>
      <c r="V12" s="5" t="s">
        <v>150</v>
      </c>
      <c r="W12" s="5" t="s">
        <v>150</v>
      </c>
    </row>
    <row r="13" ht="36" customHeight="1" spans="1:23">
      <c r="A13" s="4" t="s">
        <v>189</v>
      </c>
      <c r="B13" s="10" t="s">
        <v>121</v>
      </c>
      <c r="C13" s="4" t="s">
        <v>122</v>
      </c>
      <c r="D13" s="5" t="s">
        <v>82</v>
      </c>
      <c r="E13" s="5" t="s">
        <v>190</v>
      </c>
      <c r="F13" s="5" t="s">
        <v>191</v>
      </c>
      <c r="G13" s="5" t="s">
        <v>192</v>
      </c>
      <c r="H13" s="4" t="s">
        <v>158</v>
      </c>
      <c r="I13" s="9" t="s">
        <v>149</v>
      </c>
      <c r="J13" s="4" t="s">
        <v>35</v>
      </c>
      <c r="K13" s="4" t="s">
        <v>35</v>
      </c>
      <c r="L13" s="4" t="s">
        <v>27</v>
      </c>
      <c r="M13" s="4" t="s">
        <v>27</v>
      </c>
      <c r="N13" s="4" t="s">
        <v>27</v>
      </c>
      <c r="O13" s="4" t="s">
        <v>27</v>
      </c>
      <c r="P13" s="6" t="str">
        <f t="shared" si="0"/>
        <v>待开发</v>
      </c>
      <c r="Q13" s="5" t="s">
        <v>150</v>
      </c>
      <c r="R13" s="5" t="s">
        <v>150</v>
      </c>
      <c r="S13" s="5" t="s">
        <v>150</v>
      </c>
      <c r="T13" s="5" t="s">
        <v>150</v>
      </c>
      <c r="U13" s="5" t="s">
        <v>150</v>
      </c>
      <c r="V13" s="5" t="s">
        <v>150</v>
      </c>
      <c r="W13" s="5" t="s">
        <v>150</v>
      </c>
    </row>
    <row r="14" ht="36" customHeight="1" spans="1:23">
      <c r="A14" s="4" t="s">
        <v>193</v>
      </c>
      <c r="B14" s="10" t="s">
        <v>121</v>
      </c>
      <c r="C14" s="4" t="s">
        <v>122</v>
      </c>
      <c r="D14" s="5" t="s">
        <v>82</v>
      </c>
      <c r="E14" s="5" t="s">
        <v>190</v>
      </c>
      <c r="F14" s="5" t="s">
        <v>194</v>
      </c>
      <c r="G14" s="5" t="s">
        <v>195</v>
      </c>
      <c r="H14" s="4" t="s">
        <v>158</v>
      </c>
      <c r="I14" s="9" t="s">
        <v>149</v>
      </c>
      <c r="J14" s="4" t="s">
        <v>35</v>
      </c>
      <c r="K14" s="4" t="s">
        <v>35</v>
      </c>
      <c r="L14" s="4" t="s">
        <v>27</v>
      </c>
      <c r="M14" s="4" t="s">
        <v>27</v>
      </c>
      <c r="N14" s="4" t="s">
        <v>27</v>
      </c>
      <c r="O14" s="4" t="s">
        <v>27</v>
      </c>
      <c r="P14" s="6" t="str">
        <f t="shared" si="0"/>
        <v>待开发</v>
      </c>
      <c r="Q14" s="5" t="s">
        <v>150</v>
      </c>
      <c r="R14" s="5" t="s">
        <v>150</v>
      </c>
      <c r="S14" s="5" t="s">
        <v>150</v>
      </c>
      <c r="T14" s="5" t="s">
        <v>150</v>
      </c>
      <c r="U14" s="5" t="s">
        <v>150</v>
      </c>
      <c r="V14" s="5" t="s">
        <v>150</v>
      </c>
      <c r="W14" s="5" t="s">
        <v>150</v>
      </c>
    </row>
    <row r="15" ht="36" customHeight="1" spans="1:23">
      <c r="A15" s="4" t="s">
        <v>196</v>
      </c>
      <c r="B15" s="10" t="s">
        <v>121</v>
      </c>
      <c r="C15" s="4" t="s">
        <v>122</v>
      </c>
      <c r="D15" s="5" t="s">
        <v>82</v>
      </c>
      <c r="E15" s="5" t="s">
        <v>190</v>
      </c>
      <c r="F15" s="5" t="s">
        <v>197</v>
      </c>
      <c r="G15" s="5" t="s">
        <v>198</v>
      </c>
      <c r="H15" s="4" t="s">
        <v>148</v>
      </c>
      <c r="I15" s="9" t="s">
        <v>149</v>
      </c>
      <c r="J15" s="4" t="s">
        <v>31</v>
      </c>
      <c r="K15" s="4" t="s">
        <v>31</v>
      </c>
      <c r="L15" s="4" t="s">
        <v>27</v>
      </c>
      <c r="M15" s="4" t="s">
        <v>27</v>
      </c>
      <c r="N15" s="4" t="s">
        <v>27</v>
      </c>
      <c r="O15" s="4" t="s">
        <v>27</v>
      </c>
      <c r="P15" s="6" t="str">
        <f t="shared" si="0"/>
        <v>待开发</v>
      </c>
      <c r="Q15" s="5" t="s">
        <v>150</v>
      </c>
      <c r="R15" s="5" t="s">
        <v>150</v>
      </c>
      <c r="S15" s="5" t="s">
        <v>150</v>
      </c>
      <c r="T15" s="5" t="s">
        <v>150</v>
      </c>
      <c r="U15" s="5" t="s">
        <v>150</v>
      </c>
      <c r="V15" s="5" t="s">
        <v>150</v>
      </c>
      <c r="W15" s="5" t="s">
        <v>150</v>
      </c>
    </row>
    <row r="16" ht="36" customHeight="1" spans="1:23">
      <c r="A16" s="4" t="s">
        <v>199</v>
      </c>
      <c r="B16" s="10" t="s">
        <v>121</v>
      </c>
      <c r="C16" s="4" t="s">
        <v>122</v>
      </c>
      <c r="D16" s="5" t="s">
        <v>82</v>
      </c>
      <c r="E16" s="5" t="s">
        <v>145</v>
      </c>
      <c r="F16" s="5" t="s">
        <v>200</v>
      </c>
      <c r="G16" s="5" t="s">
        <v>201</v>
      </c>
      <c r="H16" s="4" t="s">
        <v>202</v>
      </c>
      <c r="I16" s="9" t="s">
        <v>149</v>
      </c>
      <c r="J16" s="4" t="s">
        <v>35</v>
      </c>
      <c r="K16" s="4" t="s">
        <v>35</v>
      </c>
      <c r="L16" s="4" t="s">
        <v>27</v>
      </c>
      <c r="M16" s="4" t="s">
        <v>27</v>
      </c>
      <c r="N16" s="4" t="s">
        <v>27</v>
      </c>
      <c r="O16" s="4" t="s">
        <v>27</v>
      </c>
      <c r="P16" s="6" t="str">
        <f t="shared" si="0"/>
        <v>待开发</v>
      </c>
      <c r="Q16" s="5" t="s">
        <v>150</v>
      </c>
      <c r="R16" s="5" t="s">
        <v>150</v>
      </c>
      <c r="S16" s="5" t="s">
        <v>150</v>
      </c>
      <c r="T16" s="5" t="s">
        <v>150</v>
      </c>
      <c r="U16" s="5" t="s">
        <v>150</v>
      </c>
      <c r="V16" s="5" t="s">
        <v>150</v>
      </c>
      <c r="W16" s="5" t="s">
        <v>203</v>
      </c>
    </row>
    <row r="17" ht="36" customHeight="1" spans="1:23">
      <c r="A17" s="4" t="s">
        <v>204</v>
      </c>
      <c r="B17" s="10" t="s">
        <v>121</v>
      </c>
      <c r="C17" s="4" t="s">
        <v>122</v>
      </c>
      <c r="D17" s="5" t="s">
        <v>83</v>
      </c>
      <c r="E17" s="5" t="s">
        <v>83</v>
      </c>
      <c r="F17" s="5" t="s">
        <v>205</v>
      </c>
      <c r="G17" s="5" t="s">
        <v>206</v>
      </c>
      <c r="H17" s="4" t="s">
        <v>207</v>
      </c>
      <c r="I17" s="9" t="s">
        <v>149</v>
      </c>
      <c r="J17" s="4" t="s">
        <v>31</v>
      </c>
      <c r="K17" s="4" t="s">
        <v>31</v>
      </c>
      <c r="L17" s="4" t="s">
        <v>27</v>
      </c>
      <c r="M17" s="4" t="s">
        <v>27</v>
      </c>
      <c r="N17" s="4" t="s">
        <v>27</v>
      </c>
      <c r="O17" s="4" t="s">
        <v>27</v>
      </c>
      <c r="P17" s="6" t="str">
        <f t="shared" si="0"/>
        <v>待开发</v>
      </c>
      <c r="Q17" s="5" t="s">
        <v>150</v>
      </c>
      <c r="R17" s="5" t="s">
        <v>150</v>
      </c>
      <c r="S17" s="5" t="s">
        <v>150</v>
      </c>
      <c r="T17" s="5" t="s">
        <v>150</v>
      </c>
      <c r="U17" s="5" t="s">
        <v>150</v>
      </c>
      <c r="V17" s="5" t="s">
        <v>150</v>
      </c>
      <c r="W17" s="5" t="s">
        <v>150</v>
      </c>
    </row>
    <row r="18" ht="36" customHeight="1" spans="1:23">
      <c r="A18" s="4" t="s">
        <v>208</v>
      </c>
      <c r="B18" s="10" t="s">
        <v>121</v>
      </c>
      <c r="C18" s="4" t="s">
        <v>122</v>
      </c>
      <c r="D18" s="5" t="s">
        <v>83</v>
      </c>
      <c r="E18" s="5" t="s">
        <v>83</v>
      </c>
      <c r="F18" s="5" t="s">
        <v>209</v>
      </c>
      <c r="G18" s="5" t="s">
        <v>210</v>
      </c>
      <c r="H18" s="4" t="s">
        <v>211</v>
      </c>
      <c r="I18" s="9" t="s">
        <v>149</v>
      </c>
      <c r="J18" s="4" t="s">
        <v>31</v>
      </c>
      <c r="K18" s="4" t="s">
        <v>31</v>
      </c>
      <c r="L18" s="4" t="s">
        <v>27</v>
      </c>
      <c r="M18" s="4" t="s">
        <v>27</v>
      </c>
      <c r="N18" s="4" t="s">
        <v>27</v>
      </c>
      <c r="O18" s="4" t="s">
        <v>27</v>
      </c>
      <c r="P18" s="6" t="str">
        <f t="shared" si="0"/>
        <v>待开发</v>
      </c>
      <c r="Q18" s="5" t="s">
        <v>150</v>
      </c>
      <c r="R18" s="5" t="s">
        <v>150</v>
      </c>
      <c r="S18" s="5" t="s">
        <v>150</v>
      </c>
      <c r="T18" s="5" t="s">
        <v>150</v>
      </c>
      <c r="U18" s="5" t="s">
        <v>150</v>
      </c>
      <c r="V18" s="5" t="s">
        <v>150</v>
      </c>
      <c r="W18" s="5" t="s">
        <v>150</v>
      </c>
    </row>
    <row r="19" ht="36" hidden="1" customHeight="1" spans="1:23">
      <c r="A19" s="4" t="s">
        <v>212</v>
      </c>
      <c r="B19" s="10" t="s">
        <v>121</v>
      </c>
      <c r="C19" s="4" t="s">
        <v>122</v>
      </c>
      <c r="D19" s="5" t="s">
        <v>83</v>
      </c>
      <c r="E19" s="5" t="s">
        <v>83</v>
      </c>
      <c r="F19" s="5" t="s">
        <v>213</v>
      </c>
      <c r="G19" s="5" t="s">
        <v>214</v>
      </c>
      <c r="H19" s="4" t="s">
        <v>211</v>
      </c>
      <c r="I19" s="11" t="s">
        <v>215</v>
      </c>
      <c r="J19" s="4" t="s">
        <v>31</v>
      </c>
      <c r="K19" s="4" t="s">
        <v>31</v>
      </c>
      <c r="L19" s="4" t="s">
        <v>27</v>
      </c>
      <c r="M19" s="4" t="s">
        <v>27</v>
      </c>
      <c r="N19" s="4" t="s">
        <v>27</v>
      </c>
      <c r="O19" s="4" t="s">
        <v>27</v>
      </c>
      <c r="P19" s="6" t="str">
        <f t="shared" si="0"/>
        <v>待开发</v>
      </c>
      <c r="Q19" s="5" t="s">
        <v>150</v>
      </c>
      <c r="R19" s="5" t="s">
        <v>150</v>
      </c>
      <c r="S19" s="5" t="s">
        <v>150</v>
      </c>
      <c r="T19" s="5" t="s">
        <v>150</v>
      </c>
      <c r="U19" s="5" t="s">
        <v>150</v>
      </c>
      <c r="V19" s="5" t="s">
        <v>150</v>
      </c>
      <c r="W19" s="5" t="s">
        <v>150</v>
      </c>
    </row>
    <row r="20" ht="36" customHeight="1" spans="1:23">
      <c r="A20" s="4" t="s">
        <v>216</v>
      </c>
      <c r="B20" s="10" t="s">
        <v>121</v>
      </c>
      <c r="C20" s="4" t="s">
        <v>122</v>
      </c>
      <c r="D20" s="5" t="s">
        <v>85</v>
      </c>
      <c r="E20" s="5" t="s">
        <v>85</v>
      </c>
      <c r="F20" s="5" t="s">
        <v>217</v>
      </c>
      <c r="G20" s="5" t="s">
        <v>218</v>
      </c>
      <c r="H20" s="4" t="s">
        <v>219</v>
      </c>
      <c r="I20" s="9" t="s">
        <v>149</v>
      </c>
      <c r="J20" s="4" t="s">
        <v>31</v>
      </c>
      <c r="K20" s="4" t="s">
        <v>31</v>
      </c>
      <c r="L20" s="4" t="s">
        <v>27</v>
      </c>
      <c r="M20" s="4" t="s">
        <v>27</v>
      </c>
      <c r="N20" s="4" t="s">
        <v>27</v>
      </c>
      <c r="O20" s="4" t="s">
        <v>27</v>
      </c>
      <c r="P20" s="6" t="str">
        <f t="shared" si="0"/>
        <v>待开发</v>
      </c>
      <c r="Q20" s="5" t="s">
        <v>150</v>
      </c>
      <c r="R20" s="5" t="s">
        <v>150</v>
      </c>
      <c r="S20" s="5" t="s">
        <v>150</v>
      </c>
      <c r="T20" s="5" t="s">
        <v>150</v>
      </c>
      <c r="U20" s="5" t="s">
        <v>150</v>
      </c>
      <c r="V20" s="5" t="s">
        <v>150</v>
      </c>
      <c r="W20" s="5" t="s">
        <v>150</v>
      </c>
    </row>
    <row r="21" ht="36" customHeight="1" spans="1:23">
      <c r="A21" s="4" t="s">
        <v>220</v>
      </c>
      <c r="B21" s="10" t="s">
        <v>121</v>
      </c>
      <c r="C21" s="4" t="s">
        <v>122</v>
      </c>
      <c r="D21" s="5" t="s">
        <v>85</v>
      </c>
      <c r="E21" s="5" t="s">
        <v>85</v>
      </c>
      <c r="F21" s="5" t="s">
        <v>221</v>
      </c>
      <c r="G21" s="5" t="s">
        <v>222</v>
      </c>
      <c r="H21" s="4" t="s">
        <v>223</v>
      </c>
      <c r="I21" s="9" t="s">
        <v>149</v>
      </c>
      <c r="J21" s="4" t="s">
        <v>31</v>
      </c>
      <c r="K21" s="4" t="s">
        <v>31</v>
      </c>
      <c r="L21" s="4" t="s">
        <v>27</v>
      </c>
      <c r="M21" s="4" t="s">
        <v>27</v>
      </c>
      <c r="N21" s="4" t="s">
        <v>27</v>
      </c>
      <c r="O21" s="4" t="s">
        <v>27</v>
      </c>
      <c r="P21" s="6" t="str">
        <f t="shared" si="0"/>
        <v>待开发</v>
      </c>
      <c r="Q21" s="5" t="s">
        <v>150</v>
      </c>
      <c r="R21" s="5" t="s">
        <v>150</v>
      </c>
      <c r="S21" s="5" t="s">
        <v>150</v>
      </c>
      <c r="T21" s="5" t="s">
        <v>150</v>
      </c>
      <c r="U21" s="5" t="s">
        <v>150</v>
      </c>
      <c r="V21" s="5" t="s">
        <v>150</v>
      </c>
      <c r="W21" s="5" t="s">
        <v>150</v>
      </c>
    </row>
    <row r="22" ht="36" customHeight="1" spans="1:23">
      <c r="A22" s="4" t="s">
        <v>224</v>
      </c>
      <c r="B22" s="10" t="s">
        <v>121</v>
      </c>
      <c r="C22" s="4" t="s">
        <v>122</v>
      </c>
      <c r="D22" s="5" t="s">
        <v>85</v>
      </c>
      <c r="E22" s="5" t="s">
        <v>85</v>
      </c>
      <c r="F22" s="5" t="s">
        <v>225</v>
      </c>
      <c r="G22" s="5" t="s">
        <v>226</v>
      </c>
      <c r="H22" s="4" t="s">
        <v>219</v>
      </c>
      <c r="I22" s="9" t="s">
        <v>149</v>
      </c>
      <c r="J22" s="4" t="s">
        <v>31</v>
      </c>
      <c r="K22" s="4" t="s">
        <v>31</v>
      </c>
      <c r="L22" s="4" t="s">
        <v>27</v>
      </c>
      <c r="M22" s="4" t="s">
        <v>27</v>
      </c>
      <c r="N22" s="4" t="s">
        <v>27</v>
      </c>
      <c r="O22" s="4" t="s">
        <v>27</v>
      </c>
      <c r="P22" s="6" t="str">
        <f t="shared" si="0"/>
        <v>待开发</v>
      </c>
      <c r="Q22" s="5" t="s">
        <v>150</v>
      </c>
      <c r="R22" s="5" t="s">
        <v>150</v>
      </c>
      <c r="S22" s="5" t="s">
        <v>150</v>
      </c>
      <c r="T22" s="5" t="s">
        <v>150</v>
      </c>
      <c r="U22" s="5" t="s">
        <v>150</v>
      </c>
      <c r="V22" s="5" t="s">
        <v>150</v>
      </c>
      <c r="W22" s="5" t="s">
        <v>150</v>
      </c>
    </row>
    <row r="23" ht="36" customHeight="1" spans="1:23">
      <c r="A23" s="4" t="s">
        <v>227</v>
      </c>
      <c r="B23" s="10" t="s">
        <v>121</v>
      </c>
      <c r="C23" s="4" t="s">
        <v>122</v>
      </c>
      <c r="D23" s="5" t="s">
        <v>85</v>
      </c>
      <c r="E23" s="5" t="s">
        <v>85</v>
      </c>
      <c r="F23" s="5" t="s">
        <v>228</v>
      </c>
      <c r="G23" s="5" t="s">
        <v>229</v>
      </c>
      <c r="H23" s="4" t="s">
        <v>230</v>
      </c>
      <c r="I23" s="9" t="s">
        <v>149</v>
      </c>
      <c r="J23" s="4" t="s">
        <v>31</v>
      </c>
      <c r="K23" s="4" t="s">
        <v>31</v>
      </c>
      <c r="L23" s="4" t="s">
        <v>27</v>
      </c>
      <c r="M23" s="4" t="s">
        <v>27</v>
      </c>
      <c r="N23" s="4" t="s">
        <v>27</v>
      </c>
      <c r="O23" s="4" t="s">
        <v>27</v>
      </c>
      <c r="P23" s="6" t="str">
        <f t="shared" si="0"/>
        <v>待开发</v>
      </c>
      <c r="Q23" s="5" t="s">
        <v>150</v>
      </c>
      <c r="R23" s="5" t="s">
        <v>150</v>
      </c>
      <c r="S23" s="5" t="s">
        <v>150</v>
      </c>
      <c r="T23" s="5" t="s">
        <v>150</v>
      </c>
      <c r="U23" s="5" t="s">
        <v>150</v>
      </c>
      <c r="V23" s="5" t="s">
        <v>150</v>
      </c>
      <c r="W23" s="5" t="s">
        <v>150</v>
      </c>
    </row>
    <row r="24" ht="36" customHeight="1" spans="1:23">
      <c r="A24" s="4" t="s">
        <v>231</v>
      </c>
      <c r="B24" s="10" t="s">
        <v>121</v>
      </c>
      <c r="C24" s="4" t="s">
        <v>122</v>
      </c>
      <c r="D24" s="5" t="s">
        <v>85</v>
      </c>
      <c r="E24" s="5" t="s">
        <v>85</v>
      </c>
      <c r="F24" s="5" t="s">
        <v>232</v>
      </c>
      <c r="G24" s="5" t="s">
        <v>233</v>
      </c>
      <c r="H24" s="4" t="s">
        <v>234</v>
      </c>
      <c r="I24" s="9" t="s">
        <v>149</v>
      </c>
      <c r="J24" s="4" t="s">
        <v>31</v>
      </c>
      <c r="K24" s="4" t="s">
        <v>31</v>
      </c>
      <c r="L24" s="4" t="s">
        <v>27</v>
      </c>
      <c r="M24" s="4" t="s">
        <v>27</v>
      </c>
      <c r="N24" s="4" t="s">
        <v>27</v>
      </c>
      <c r="O24" s="4" t="s">
        <v>27</v>
      </c>
      <c r="P24" s="6" t="str">
        <f t="shared" si="0"/>
        <v>待开发</v>
      </c>
      <c r="Q24" s="5" t="s">
        <v>150</v>
      </c>
      <c r="R24" s="5" t="s">
        <v>150</v>
      </c>
      <c r="S24" s="5" t="s">
        <v>150</v>
      </c>
      <c r="T24" s="5" t="s">
        <v>150</v>
      </c>
      <c r="U24" s="5" t="s">
        <v>150</v>
      </c>
      <c r="V24" s="5" t="s">
        <v>150</v>
      </c>
      <c r="W24" s="5" t="s">
        <v>150</v>
      </c>
    </row>
    <row r="25" ht="36" customHeight="1" spans="1:23">
      <c r="A25" s="4" t="s">
        <v>235</v>
      </c>
      <c r="B25" s="10" t="s">
        <v>121</v>
      </c>
      <c r="C25" s="4" t="s">
        <v>122</v>
      </c>
      <c r="D25" s="5" t="s">
        <v>85</v>
      </c>
      <c r="E25" s="5" t="s">
        <v>85</v>
      </c>
      <c r="F25" s="5" t="s">
        <v>236</v>
      </c>
      <c r="G25" s="5" t="s">
        <v>237</v>
      </c>
      <c r="H25" s="4" t="s">
        <v>234</v>
      </c>
      <c r="I25" s="9" t="s">
        <v>149</v>
      </c>
      <c r="J25" s="4" t="s">
        <v>31</v>
      </c>
      <c r="K25" s="4" t="s">
        <v>31</v>
      </c>
      <c r="L25" s="4" t="s">
        <v>27</v>
      </c>
      <c r="M25" s="4" t="s">
        <v>27</v>
      </c>
      <c r="N25" s="4" t="s">
        <v>27</v>
      </c>
      <c r="O25" s="4" t="s">
        <v>27</v>
      </c>
      <c r="P25" s="6" t="str">
        <f t="shared" si="0"/>
        <v>待开发</v>
      </c>
      <c r="Q25" s="5" t="s">
        <v>150</v>
      </c>
      <c r="R25" s="5" t="s">
        <v>150</v>
      </c>
      <c r="S25" s="5" t="s">
        <v>150</v>
      </c>
      <c r="T25" s="5" t="s">
        <v>150</v>
      </c>
      <c r="U25" s="5" t="s">
        <v>150</v>
      </c>
      <c r="V25" s="5" t="s">
        <v>150</v>
      </c>
      <c r="W25" s="5" t="s">
        <v>150</v>
      </c>
    </row>
    <row r="26" ht="36" customHeight="1" spans="1:23">
      <c r="A26" s="4" t="s">
        <v>238</v>
      </c>
      <c r="B26" s="10" t="s">
        <v>121</v>
      </c>
      <c r="C26" s="4" t="s">
        <v>122</v>
      </c>
      <c r="D26" s="5" t="s">
        <v>85</v>
      </c>
      <c r="E26" s="5" t="s">
        <v>85</v>
      </c>
      <c r="F26" s="5" t="s">
        <v>239</v>
      </c>
      <c r="G26" s="5" t="s">
        <v>240</v>
      </c>
      <c r="H26" s="4" t="s">
        <v>188</v>
      </c>
      <c r="I26" s="9" t="s">
        <v>149</v>
      </c>
      <c r="J26" s="4" t="s">
        <v>31</v>
      </c>
      <c r="K26" s="4" t="s">
        <v>31</v>
      </c>
      <c r="L26" s="4" t="s">
        <v>27</v>
      </c>
      <c r="M26" s="4" t="s">
        <v>27</v>
      </c>
      <c r="N26" s="4" t="s">
        <v>27</v>
      </c>
      <c r="O26" s="4" t="s">
        <v>27</v>
      </c>
      <c r="P26" s="6" t="str">
        <f t="shared" si="0"/>
        <v>待开发</v>
      </c>
      <c r="Q26" s="5" t="s">
        <v>150</v>
      </c>
      <c r="R26" s="5" t="s">
        <v>150</v>
      </c>
      <c r="S26" s="5" t="s">
        <v>150</v>
      </c>
      <c r="T26" s="5" t="s">
        <v>150</v>
      </c>
      <c r="U26" s="5" t="s">
        <v>150</v>
      </c>
      <c r="V26" s="5" t="s">
        <v>150</v>
      </c>
      <c r="W26" s="5" t="s">
        <v>150</v>
      </c>
    </row>
    <row r="27" ht="36" customHeight="1" spans="1:23">
      <c r="A27" s="4" t="s">
        <v>241</v>
      </c>
      <c r="B27" s="10" t="s">
        <v>121</v>
      </c>
      <c r="C27" s="4" t="s">
        <v>122</v>
      </c>
      <c r="D27" s="5" t="s">
        <v>87</v>
      </c>
      <c r="E27" s="5" t="s">
        <v>87</v>
      </c>
      <c r="F27" s="5" t="s">
        <v>242</v>
      </c>
      <c r="G27" s="5" t="s">
        <v>243</v>
      </c>
      <c r="H27" s="4" t="s">
        <v>244</v>
      </c>
      <c r="I27" s="9" t="s">
        <v>149</v>
      </c>
      <c r="J27" s="4" t="s">
        <v>31</v>
      </c>
      <c r="K27" s="4" t="s">
        <v>31</v>
      </c>
      <c r="L27" s="4" t="s">
        <v>27</v>
      </c>
      <c r="M27" s="4" t="s">
        <v>27</v>
      </c>
      <c r="N27" s="4" t="s">
        <v>27</v>
      </c>
      <c r="O27" s="4" t="s">
        <v>27</v>
      </c>
      <c r="P27" s="6" t="str">
        <f t="shared" si="0"/>
        <v>待开发</v>
      </c>
      <c r="Q27" s="5" t="s">
        <v>150</v>
      </c>
      <c r="R27" s="5" t="s">
        <v>150</v>
      </c>
      <c r="S27" s="5" t="s">
        <v>150</v>
      </c>
      <c r="T27" s="5" t="s">
        <v>150</v>
      </c>
      <c r="U27" s="5" t="s">
        <v>150</v>
      </c>
      <c r="V27" s="5" t="s">
        <v>150</v>
      </c>
      <c r="W27" s="5" t="s">
        <v>150</v>
      </c>
    </row>
    <row r="28" ht="36" customHeight="1" spans="1:23">
      <c r="A28" s="4" t="s">
        <v>245</v>
      </c>
      <c r="B28" s="10" t="s">
        <v>121</v>
      </c>
      <c r="C28" s="4" t="s">
        <v>122</v>
      </c>
      <c r="D28" s="5" t="s">
        <v>87</v>
      </c>
      <c r="E28" s="5" t="s">
        <v>87</v>
      </c>
      <c r="F28" s="5" t="s">
        <v>246</v>
      </c>
      <c r="G28" s="5" t="s">
        <v>247</v>
      </c>
      <c r="H28" s="4" t="s">
        <v>248</v>
      </c>
      <c r="I28" s="9" t="s">
        <v>149</v>
      </c>
      <c r="J28" s="4" t="s">
        <v>31</v>
      </c>
      <c r="K28" s="4" t="s">
        <v>31</v>
      </c>
      <c r="L28" s="4" t="s">
        <v>27</v>
      </c>
      <c r="M28" s="4" t="s">
        <v>27</v>
      </c>
      <c r="N28" s="4" t="s">
        <v>27</v>
      </c>
      <c r="O28" s="4" t="s">
        <v>27</v>
      </c>
      <c r="P28" s="6" t="str">
        <f t="shared" si="0"/>
        <v>待开发</v>
      </c>
      <c r="Q28" s="5" t="s">
        <v>150</v>
      </c>
      <c r="R28" s="5" t="s">
        <v>150</v>
      </c>
      <c r="S28" s="5" t="s">
        <v>150</v>
      </c>
      <c r="T28" s="5" t="s">
        <v>150</v>
      </c>
      <c r="U28" s="5" t="s">
        <v>150</v>
      </c>
      <c r="V28" s="5" t="s">
        <v>150</v>
      </c>
      <c r="W28" s="5" t="s">
        <v>150</v>
      </c>
    </row>
    <row r="29" ht="36" customHeight="1" spans="1:23">
      <c r="A29" s="4" t="s">
        <v>249</v>
      </c>
      <c r="B29" s="10" t="s">
        <v>121</v>
      </c>
      <c r="C29" s="4" t="s">
        <v>122</v>
      </c>
      <c r="D29" s="5" t="s">
        <v>87</v>
      </c>
      <c r="E29" s="5" t="s">
        <v>87</v>
      </c>
      <c r="F29" s="5" t="s">
        <v>250</v>
      </c>
      <c r="G29" s="5" t="s">
        <v>251</v>
      </c>
      <c r="H29" s="4" t="s">
        <v>248</v>
      </c>
      <c r="I29" s="9" t="s">
        <v>149</v>
      </c>
      <c r="J29" s="4" t="s">
        <v>31</v>
      </c>
      <c r="K29" s="4" t="s">
        <v>31</v>
      </c>
      <c r="L29" s="4" t="s">
        <v>27</v>
      </c>
      <c r="M29" s="4" t="s">
        <v>27</v>
      </c>
      <c r="N29" s="4" t="s">
        <v>27</v>
      </c>
      <c r="O29" s="4" t="s">
        <v>27</v>
      </c>
      <c r="P29" s="6" t="str">
        <f t="shared" si="0"/>
        <v>待开发</v>
      </c>
      <c r="Q29" s="5" t="s">
        <v>150</v>
      </c>
      <c r="R29" s="5" t="s">
        <v>150</v>
      </c>
      <c r="S29" s="5" t="s">
        <v>150</v>
      </c>
      <c r="T29" s="5" t="s">
        <v>150</v>
      </c>
      <c r="U29" s="5" t="s">
        <v>150</v>
      </c>
      <c r="V29" s="5" t="s">
        <v>150</v>
      </c>
      <c r="W29" s="5" t="s">
        <v>150</v>
      </c>
    </row>
    <row r="30" ht="36" hidden="1" customHeight="1" spans="1:23">
      <c r="A30" s="4" t="s">
        <v>252</v>
      </c>
      <c r="B30" s="10" t="s">
        <v>121</v>
      </c>
      <c r="C30" s="4" t="s">
        <v>122</v>
      </c>
      <c r="D30" s="5" t="s">
        <v>87</v>
      </c>
      <c r="E30" s="5" t="s">
        <v>87</v>
      </c>
      <c r="F30" s="5" t="s">
        <v>253</v>
      </c>
      <c r="G30" s="5" t="s">
        <v>254</v>
      </c>
      <c r="H30" s="4" t="s">
        <v>255</v>
      </c>
      <c r="I30" s="11" t="s">
        <v>215</v>
      </c>
      <c r="J30" s="4" t="s">
        <v>31</v>
      </c>
      <c r="K30" s="4" t="s">
        <v>31</v>
      </c>
      <c r="L30" s="4" t="s">
        <v>27</v>
      </c>
      <c r="M30" s="4" t="s">
        <v>27</v>
      </c>
      <c r="N30" s="4" t="s">
        <v>27</v>
      </c>
      <c r="O30" s="4" t="s">
        <v>27</v>
      </c>
      <c r="P30" s="6" t="str">
        <f t="shared" si="0"/>
        <v>待开发</v>
      </c>
      <c r="Q30" s="5" t="s">
        <v>150</v>
      </c>
      <c r="R30" s="5" t="s">
        <v>150</v>
      </c>
      <c r="S30" s="5" t="s">
        <v>150</v>
      </c>
      <c r="T30" s="5" t="s">
        <v>150</v>
      </c>
      <c r="U30" s="5" t="s">
        <v>150</v>
      </c>
      <c r="V30" s="5" t="s">
        <v>150</v>
      </c>
      <c r="W30" s="5" t="s">
        <v>150</v>
      </c>
    </row>
    <row r="31" ht="36" customHeight="1" spans="1:23">
      <c r="A31" s="4" t="s">
        <v>256</v>
      </c>
      <c r="B31" s="10" t="s">
        <v>121</v>
      </c>
      <c r="C31" s="4" t="s">
        <v>122</v>
      </c>
      <c r="D31" s="5" t="s">
        <v>89</v>
      </c>
      <c r="E31" s="5" t="s">
        <v>257</v>
      </c>
      <c r="F31" s="5" t="s">
        <v>258</v>
      </c>
      <c r="G31" s="5" t="s">
        <v>259</v>
      </c>
      <c r="H31" s="4" t="s">
        <v>260</v>
      </c>
      <c r="I31" s="9" t="s">
        <v>149</v>
      </c>
      <c r="J31" s="4" t="s">
        <v>31</v>
      </c>
      <c r="K31" s="4" t="s">
        <v>31</v>
      </c>
      <c r="L31" s="4" t="s">
        <v>27</v>
      </c>
      <c r="M31" s="4" t="s">
        <v>27</v>
      </c>
      <c r="N31" s="4" t="s">
        <v>27</v>
      </c>
      <c r="O31" s="4" t="s">
        <v>27</v>
      </c>
      <c r="P31" s="6" t="str">
        <f t="shared" si="0"/>
        <v>待开发</v>
      </c>
      <c r="Q31" s="5" t="s">
        <v>150</v>
      </c>
      <c r="R31" s="5" t="s">
        <v>150</v>
      </c>
      <c r="S31" s="5" t="s">
        <v>150</v>
      </c>
      <c r="T31" s="5" t="s">
        <v>150</v>
      </c>
      <c r="U31" s="5" t="s">
        <v>150</v>
      </c>
      <c r="V31" s="5" t="s">
        <v>150</v>
      </c>
      <c r="W31" s="5" t="s">
        <v>150</v>
      </c>
    </row>
    <row r="32" ht="36" customHeight="1" spans="1:23">
      <c r="A32" s="4" t="s">
        <v>261</v>
      </c>
      <c r="B32" s="10" t="s">
        <v>121</v>
      </c>
      <c r="C32" s="4" t="s">
        <v>122</v>
      </c>
      <c r="D32" s="5" t="s">
        <v>89</v>
      </c>
      <c r="E32" s="5" t="s">
        <v>257</v>
      </c>
      <c r="F32" s="5" t="s">
        <v>262</v>
      </c>
      <c r="G32" s="5" t="s">
        <v>263</v>
      </c>
      <c r="H32" s="4" t="s">
        <v>264</v>
      </c>
      <c r="I32" s="9" t="s">
        <v>149</v>
      </c>
      <c r="J32" s="4" t="s">
        <v>31</v>
      </c>
      <c r="K32" s="4" t="s">
        <v>31</v>
      </c>
      <c r="L32" s="4" t="s">
        <v>27</v>
      </c>
      <c r="M32" s="4" t="s">
        <v>27</v>
      </c>
      <c r="N32" s="4" t="s">
        <v>27</v>
      </c>
      <c r="O32" s="4" t="s">
        <v>27</v>
      </c>
      <c r="P32" s="6" t="str">
        <f t="shared" si="0"/>
        <v>待开发</v>
      </c>
      <c r="Q32" s="5" t="s">
        <v>150</v>
      </c>
      <c r="R32" s="5" t="s">
        <v>150</v>
      </c>
      <c r="S32" s="5" t="s">
        <v>150</v>
      </c>
      <c r="T32" s="5" t="s">
        <v>150</v>
      </c>
      <c r="U32" s="5" t="s">
        <v>150</v>
      </c>
      <c r="V32" s="5" t="s">
        <v>150</v>
      </c>
      <c r="W32" s="5" t="s">
        <v>150</v>
      </c>
    </row>
    <row r="33" ht="36" customHeight="1" spans="1:23">
      <c r="A33" s="4" t="s">
        <v>265</v>
      </c>
      <c r="B33" s="10" t="s">
        <v>121</v>
      </c>
      <c r="C33" s="4" t="s">
        <v>122</v>
      </c>
      <c r="D33" s="5" t="s">
        <v>89</v>
      </c>
      <c r="E33" s="5" t="s">
        <v>257</v>
      </c>
      <c r="F33" s="5" t="s">
        <v>266</v>
      </c>
      <c r="G33" s="5" t="s">
        <v>267</v>
      </c>
      <c r="H33" s="4" t="s">
        <v>268</v>
      </c>
      <c r="I33" s="9" t="s">
        <v>149</v>
      </c>
      <c r="J33" s="4" t="s">
        <v>31</v>
      </c>
      <c r="K33" s="4" t="s">
        <v>31</v>
      </c>
      <c r="L33" s="4" t="s">
        <v>27</v>
      </c>
      <c r="M33" s="4" t="s">
        <v>27</v>
      </c>
      <c r="N33" s="4" t="s">
        <v>27</v>
      </c>
      <c r="O33" s="4" t="s">
        <v>27</v>
      </c>
      <c r="P33" s="6" t="str">
        <f t="shared" si="0"/>
        <v>待开发</v>
      </c>
      <c r="Q33" s="5" t="s">
        <v>150</v>
      </c>
      <c r="R33" s="5" t="s">
        <v>150</v>
      </c>
      <c r="S33" s="5" t="s">
        <v>150</v>
      </c>
      <c r="T33" s="5" t="s">
        <v>150</v>
      </c>
      <c r="U33" s="5" t="s">
        <v>150</v>
      </c>
      <c r="V33" s="5" t="s">
        <v>150</v>
      </c>
      <c r="W33" s="5" t="s">
        <v>269</v>
      </c>
    </row>
    <row r="34" ht="36" hidden="1" customHeight="1" spans="1:23">
      <c r="A34" s="4" t="s">
        <v>270</v>
      </c>
      <c r="B34" s="10" t="s">
        <v>121</v>
      </c>
      <c r="C34" s="4" t="s">
        <v>122</v>
      </c>
      <c r="D34" s="5" t="s">
        <v>89</v>
      </c>
      <c r="E34" s="5" t="s">
        <v>257</v>
      </c>
      <c r="F34" s="5" t="s">
        <v>271</v>
      </c>
      <c r="G34" s="5" t="s">
        <v>272</v>
      </c>
      <c r="H34" s="4" t="s">
        <v>273</v>
      </c>
      <c r="I34" s="11" t="s">
        <v>215</v>
      </c>
      <c r="J34" s="4" t="s">
        <v>31</v>
      </c>
      <c r="K34" s="4" t="s">
        <v>31</v>
      </c>
      <c r="L34" s="4" t="s">
        <v>27</v>
      </c>
      <c r="M34" s="4" t="s">
        <v>27</v>
      </c>
      <c r="N34" s="4" t="s">
        <v>27</v>
      </c>
      <c r="O34" s="4" t="s">
        <v>27</v>
      </c>
      <c r="P34" s="6" t="str">
        <f t="shared" si="0"/>
        <v>待开发</v>
      </c>
      <c r="Q34" s="5" t="s">
        <v>150</v>
      </c>
      <c r="R34" s="5" t="s">
        <v>150</v>
      </c>
      <c r="S34" s="5" t="s">
        <v>150</v>
      </c>
      <c r="T34" s="5" t="s">
        <v>150</v>
      </c>
      <c r="U34" s="5" t="s">
        <v>150</v>
      </c>
      <c r="V34" s="5" t="s">
        <v>150</v>
      </c>
      <c r="W34" s="5" t="s">
        <v>150</v>
      </c>
    </row>
    <row r="35" ht="36" hidden="1" customHeight="1" spans="1:23">
      <c r="A35" s="4" t="s">
        <v>274</v>
      </c>
      <c r="B35" s="10" t="s">
        <v>121</v>
      </c>
      <c r="C35" s="4" t="s">
        <v>122</v>
      </c>
      <c r="D35" s="5" t="s">
        <v>89</v>
      </c>
      <c r="E35" s="5" t="s">
        <v>257</v>
      </c>
      <c r="F35" s="5" t="s">
        <v>275</v>
      </c>
      <c r="G35" s="5" t="s">
        <v>276</v>
      </c>
      <c r="H35" s="4" t="s">
        <v>277</v>
      </c>
      <c r="I35" s="11" t="s">
        <v>215</v>
      </c>
      <c r="J35" s="4" t="s">
        <v>31</v>
      </c>
      <c r="K35" s="4" t="s">
        <v>31</v>
      </c>
      <c r="L35" s="4" t="s">
        <v>27</v>
      </c>
      <c r="M35" s="4" t="s">
        <v>27</v>
      </c>
      <c r="N35" s="4" t="s">
        <v>27</v>
      </c>
      <c r="O35" s="4" t="s">
        <v>27</v>
      </c>
      <c r="P35" s="6" t="str">
        <f t="shared" si="0"/>
        <v>待开发</v>
      </c>
      <c r="Q35" s="5" t="s">
        <v>150</v>
      </c>
      <c r="R35" s="5" t="s">
        <v>150</v>
      </c>
      <c r="S35" s="5" t="s">
        <v>150</v>
      </c>
      <c r="T35" s="5" t="s">
        <v>150</v>
      </c>
      <c r="U35" s="5" t="s">
        <v>150</v>
      </c>
      <c r="V35" s="5" t="s">
        <v>150</v>
      </c>
      <c r="W35" s="5" t="s">
        <v>150</v>
      </c>
    </row>
    <row r="36" ht="36" customHeight="1" spans="1:23">
      <c r="A36" s="4" t="s">
        <v>278</v>
      </c>
      <c r="B36" s="10" t="s">
        <v>121</v>
      </c>
      <c r="C36" s="4" t="s">
        <v>122</v>
      </c>
      <c r="D36" s="5" t="s">
        <v>89</v>
      </c>
      <c r="E36" s="5" t="s">
        <v>257</v>
      </c>
      <c r="F36" s="5" t="s">
        <v>279</v>
      </c>
      <c r="G36" s="5" t="s">
        <v>280</v>
      </c>
      <c r="H36" s="4" t="s">
        <v>281</v>
      </c>
      <c r="I36" s="9" t="s">
        <v>149</v>
      </c>
      <c r="J36" s="4" t="s">
        <v>31</v>
      </c>
      <c r="K36" s="4" t="s">
        <v>31</v>
      </c>
      <c r="L36" s="4" t="s">
        <v>27</v>
      </c>
      <c r="M36" s="4" t="s">
        <v>27</v>
      </c>
      <c r="N36" s="4" t="s">
        <v>27</v>
      </c>
      <c r="O36" s="4" t="s">
        <v>27</v>
      </c>
      <c r="P36" s="6" t="str">
        <f t="shared" si="0"/>
        <v>待开发</v>
      </c>
      <c r="Q36" s="5" t="s">
        <v>150</v>
      </c>
      <c r="R36" s="5" t="s">
        <v>150</v>
      </c>
      <c r="S36" s="5" t="s">
        <v>150</v>
      </c>
      <c r="T36" s="5" t="s">
        <v>150</v>
      </c>
      <c r="U36" s="5" t="s">
        <v>150</v>
      </c>
      <c r="V36" s="5" t="s">
        <v>150</v>
      </c>
      <c r="W36" s="5" t="s">
        <v>150</v>
      </c>
    </row>
    <row r="37" ht="36" customHeight="1" spans="1:23">
      <c r="A37" s="4" t="s">
        <v>282</v>
      </c>
      <c r="B37" s="10" t="s">
        <v>121</v>
      </c>
      <c r="C37" s="4" t="s">
        <v>122</v>
      </c>
      <c r="D37" s="5" t="s">
        <v>89</v>
      </c>
      <c r="E37" s="5" t="s">
        <v>257</v>
      </c>
      <c r="F37" s="5" t="s">
        <v>283</v>
      </c>
      <c r="G37" s="5" t="s">
        <v>284</v>
      </c>
      <c r="H37" s="4" t="s">
        <v>281</v>
      </c>
      <c r="I37" s="9" t="s">
        <v>149</v>
      </c>
      <c r="J37" s="4" t="s">
        <v>31</v>
      </c>
      <c r="K37" s="4" t="s">
        <v>31</v>
      </c>
      <c r="L37" s="4" t="s">
        <v>27</v>
      </c>
      <c r="M37" s="4" t="s">
        <v>27</v>
      </c>
      <c r="N37" s="4" t="s">
        <v>27</v>
      </c>
      <c r="O37" s="4" t="s">
        <v>27</v>
      </c>
      <c r="P37" s="6" t="str">
        <f t="shared" si="0"/>
        <v>待开发</v>
      </c>
      <c r="Q37" s="5" t="s">
        <v>150</v>
      </c>
      <c r="R37" s="5" t="s">
        <v>150</v>
      </c>
      <c r="S37" s="5" t="s">
        <v>150</v>
      </c>
      <c r="T37" s="5" t="s">
        <v>150</v>
      </c>
      <c r="U37" s="5" t="s">
        <v>150</v>
      </c>
      <c r="V37" s="5" t="s">
        <v>150</v>
      </c>
      <c r="W37" s="5" t="s">
        <v>150</v>
      </c>
    </row>
    <row r="38" ht="36" customHeight="1" spans="1:23">
      <c r="A38" s="4" t="s">
        <v>285</v>
      </c>
      <c r="B38" s="10" t="s">
        <v>121</v>
      </c>
      <c r="C38" s="4" t="s">
        <v>122</v>
      </c>
      <c r="D38" s="5" t="s">
        <v>89</v>
      </c>
      <c r="E38" s="5" t="s">
        <v>257</v>
      </c>
      <c r="F38" s="5" t="s">
        <v>286</v>
      </c>
      <c r="G38" s="5" t="s">
        <v>287</v>
      </c>
      <c r="H38" s="4" t="s">
        <v>288</v>
      </c>
      <c r="I38" s="9" t="s">
        <v>149</v>
      </c>
      <c r="J38" s="4" t="s">
        <v>31</v>
      </c>
      <c r="K38" s="4" t="s">
        <v>31</v>
      </c>
      <c r="L38" s="4" t="s">
        <v>27</v>
      </c>
      <c r="M38" s="4" t="s">
        <v>27</v>
      </c>
      <c r="N38" s="4" t="s">
        <v>27</v>
      </c>
      <c r="O38" s="4" t="s">
        <v>27</v>
      </c>
      <c r="P38" s="6" t="str">
        <f t="shared" si="0"/>
        <v>待开发</v>
      </c>
      <c r="Q38" s="5" t="s">
        <v>150</v>
      </c>
      <c r="R38" s="5" t="s">
        <v>150</v>
      </c>
      <c r="S38" s="5" t="s">
        <v>150</v>
      </c>
      <c r="T38" s="5" t="s">
        <v>150</v>
      </c>
      <c r="U38" s="5" t="s">
        <v>150</v>
      </c>
      <c r="V38" s="5" t="s">
        <v>150</v>
      </c>
      <c r="W38" s="5" t="s">
        <v>150</v>
      </c>
    </row>
    <row r="39" ht="36" hidden="1" customHeight="1" spans="1:23">
      <c r="A39" s="4" t="s">
        <v>289</v>
      </c>
      <c r="B39" s="10" t="s">
        <v>121</v>
      </c>
      <c r="C39" s="4" t="s">
        <v>122</v>
      </c>
      <c r="D39" s="5" t="s">
        <v>89</v>
      </c>
      <c r="E39" s="5" t="s">
        <v>257</v>
      </c>
      <c r="F39" s="5" t="s">
        <v>290</v>
      </c>
      <c r="G39" s="5" t="s">
        <v>291</v>
      </c>
      <c r="H39" s="4" t="s">
        <v>264</v>
      </c>
      <c r="I39" s="11" t="s">
        <v>215</v>
      </c>
      <c r="J39" s="4" t="s">
        <v>31</v>
      </c>
      <c r="K39" s="4" t="s">
        <v>31</v>
      </c>
      <c r="L39" s="4" t="s">
        <v>27</v>
      </c>
      <c r="M39" s="4" t="s">
        <v>27</v>
      </c>
      <c r="N39" s="4" t="s">
        <v>27</v>
      </c>
      <c r="O39" s="4" t="s">
        <v>27</v>
      </c>
      <c r="P39" s="6" t="str">
        <f t="shared" si="0"/>
        <v>待开发</v>
      </c>
      <c r="Q39" s="5" t="s">
        <v>150</v>
      </c>
      <c r="R39" s="5" t="s">
        <v>150</v>
      </c>
      <c r="S39" s="5" t="s">
        <v>150</v>
      </c>
      <c r="T39" s="5" t="s">
        <v>150</v>
      </c>
      <c r="U39" s="5" t="s">
        <v>150</v>
      </c>
      <c r="V39" s="5" t="s">
        <v>150</v>
      </c>
      <c r="W39" s="5" t="s">
        <v>150</v>
      </c>
    </row>
    <row r="40" ht="36" hidden="1" customHeight="1" spans="1:23">
      <c r="A40" s="4" t="s">
        <v>292</v>
      </c>
      <c r="B40" s="12" t="s">
        <v>123</v>
      </c>
      <c r="C40" s="4" t="s">
        <v>124</v>
      </c>
      <c r="D40" s="5" t="s">
        <v>89</v>
      </c>
      <c r="E40" s="5" t="s">
        <v>293</v>
      </c>
      <c r="F40" s="5" t="s">
        <v>294</v>
      </c>
      <c r="G40" s="5" t="s">
        <v>295</v>
      </c>
      <c r="H40" s="4" t="s">
        <v>296</v>
      </c>
      <c r="I40" s="11" t="s">
        <v>215</v>
      </c>
      <c r="J40" s="4" t="s">
        <v>31</v>
      </c>
      <c r="K40" s="4" t="s">
        <v>31</v>
      </c>
      <c r="L40" s="4" t="s">
        <v>27</v>
      </c>
      <c r="M40" s="4" t="s">
        <v>27</v>
      </c>
      <c r="N40" s="4" t="s">
        <v>27</v>
      </c>
      <c r="O40" s="4" t="s">
        <v>27</v>
      </c>
      <c r="P40" s="6" t="str">
        <f t="shared" si="0"/>
        <v>待开发</v>
      </c>
      <c r="Q40" s="5" t="s">
        <v>150</v>
      </c>
      <c r="R40" s="5" t="s">
        <v>150</v>
      </c>
      <c r="S40" s="5" t="s">
        <v>150</v>
      </c>
      <c r="T40" s="5" t="s">
        <v>150</v>
      </c>
      <c r="U40" s="5" t="s">
        <v>150</v>
      </c>
      <c r="V40" s="5" t="s">
        <v>150</v>
      </c>
      <c r="W40" s="5" t="s">
        <v>150</v>
      </c>
    </row>
    <row r="41" ht="36" customHeight="1" spans="1:23">
      <c r="A41" s="4" t="s">
        <v>297</v>
      </c>
      <c r="B41" s="10" t="s">
        <v>121</v>
      </c>
      <c r="C41" s="4" t="s">
        <v>122</v>
      </c>
      <c r="D41" s="5" t="s">
        <v>91</v>
      </c>
      <c r="E41" s="5" t="s">
        <v>91</v>
      </c>
      <c r="F41" s="5" t="s">
        <v>298</v>
      </c>
      <c r="G41" s="5" t="s">
        <v>299</v>
      </c>
      <c r="H41" s="4" t="s">
        <v>300</v>
      </c>
      <c r="I41" s="9" t="s">
        <v>149</v>
      </c>
      <c r="J41" s="4" t="s">
        <v>31</v>
      </c>
      <c r="K41" s="4" t="s">
        <v>31</v>
      </c>
      <c r="L41" s="4" t="s">
        <v>27</v>
      </c>
      <c r="M41" s="4" t="s">
        <v>27</v>
      </c>
      <c r="N41" s="4" t="s">
        <v>27</v>
      </c>
      <c r="O41" s="4" t="s">
        <v>27</v>
      </c>
      <c r="P41" s="6" t="str">
        <f t="shared" si="0"/>
        <v>待开发</v>
      </c>
      <c r="Q41" s="5" t="s">
        <v>150</v>
      </c>
      <c r="R41" s="5" t="s">
        <v>150</v>
      </c>
      <c r="S41" s="5" t="s">
        <v>150</v>
      </c>
      <c r="T41" s="5" t="s">
        <v>150</v>
      </c>
      <c r="U41" s="5" t="s">
        <v>150</v>
      </c>
      <c r="V41" s="5" t="s">
        <v>150</v>
      </c>
      <c r="W41" s="5" t="s">
        <v>150</v>
      </c>
    </row>
    <row r="42" ht="36" customHeight="1" spans="1:23">
      <c r="A42" s="4" t="s">
        <v>301</v>
      </c>
      <c r="B42" s="10" t="s">
        <v>121</v>
      </c>
      <c r="C42" s="4" t="s">
        <v>122</v>
      </c>
      <c r="D42" s="5" t="s">
        <v>91</v>
      </c>
      <c r="E42" s="5" t="s">
        <v>91</v>
      </c>
      <c r="F42" s="5" t="s">
        <v>302</v>
      </c>
      <c r="G42" s="5" t="s">
        <v>303</v>
      </c>
      <c r="H42" s="4" t="s">
        <v>304</v>
      </c>
      <c r="I42" s="9" t="s">
        <v>149</v>
      </c>
      <c r="J42" s="4" t="s">
        <v>31</v>
      </c>
      <c r="K42" s="4" t="s">
        <v>31</v>
      </c>
      <c r="L42" s="4" t="s">
        <v>27</v>
      </c>
      <c r="M42" s="4" t="s">
        <v>27</v>
      </c>
      <c r="N42" s="4" t="s">
        <v>27</v>
      </c>
      <c r="O42" s="4" t="s">
        <v>27</v>
      </c>
      <c r="P42" s="6" t="str">
        <f t="shared" si="0"/>
        <v>待开发</v>
      </c>
      <c r="Q42" s="5" t="s">
        <v>150</v>
      </c>
      <c r="R42" s="5" t="s">
        <v>150</v>
      </c>
      <c r="S42" s="5" t="s">
        <v>150</v>
      </c>
      <c r="T42" s="5" t="s">
        <v>150</v>
      </c>
      <c r="U42" s="5" t="s">
        <v>150</v>
      </c>
      <c r="V42" s="5" t="s">
        <v>150</v>
      </c>
      <c r="W42" s="5" t="s">
        <v>150</v>
      </c>
    </row>
    <row r="43" ht="36" customHeight="1" spans="1:23">
      <c r="A43" s="4" t="s">
        <v>305</v>
      </c>
      <c r="B43" s="12" t="s">
        <v>123</v>
      </c>
      <c r="C43" s="4" t="s">
        <v>124</v>
      </c>
      <c r="D43" s="5" t="s">
        <v>91</v>
      </c>
      <c r="E43" s="5" t="s">
        <v>106</v>
      </c>
      <c r="F43" s="5" t="s">
        <v>306</v>
      </c>
      <c r="G43" s="5" t="s">
        <v>307</v>
      </c>
      <c r="H43" s="4" t="s">
        <v>308</v>
      </c>
      <c r="I43" s="9" t="s">
        <v>149</v>
      </c>
      <c r="J43" s="4" t="s">
        <v>31</v>
      </c>
      <c r="K43" s="4" t="s">
        <v>31</v>
      </c>
      <c r="L43" s="4" t="s">
        <v>27</v>
      </c>
      <c r="M43" s="4" t="s">
        <v>27</v>
      </c>
      <c r="N43" s="4" t="s">
        <v>27</v>
      </c>
      <c r="O43" s="4" t="s">
        <v>27</v>
      </c>
      <c r="P43" s="6" t="str">
        <f t="shared" si="0"/>
        <v>待开发</v>
      </c>
      <c r="Q43" s="5" t="s">
        <v>150</v>
      </c>
      <c r="R43" s="5" t="s">
        <v>150</v>
      </c>
      <c r="S43" s="5" t="s">
        <v>150</v>
      </c>
      <c r="T43" s="5" t="s">
        <v>150</v>
      </c>
      <c r="U43" s="5" t="s">
        <v>150</v>
      </c>
      <c r="V43" s="5" t="s">
        <v>150</v>
      </c>
      <c r="W43" s="5" t="s">
        <v>150</v>
      </c>
    </row>
    <row r="44" ht="36" customHeight="1" spans="1:23">
      <c r="A44" s="4" t="s">
        <v>309</v>
      </c>
      <c r="B44" s="10" t="s">
        <v>121</v>
      </c>
      <c r="C44" s="4" t="s">
        <v>122</v>
      </c>
      <c r="D44" s="5" t="s">
        <v>93</v>
      </c>
      <c r="E44" s="5" t="s">
        <v>93</v>
      </c>
      <c r="F44" s="5" t="s">
        <v>310</v>
      </c>
      <c r="G44" s="5" t="s">
        <v>311</v>
      </c>
      <c r="H44" s="4" t="s">
        <v>312</v>
      </c>
      <c r="I44" s="9" t="s">
        <v>149</v>
      </c>
      <c r="J44" s="4" t="s">
        <v>31</v>
      </c>
      <c r="K44" s="4" t="s">
        <v>31</v>
      </c>
      <c r="L44" s="4" t="s">
        <v>27</v>
      </c>
      <c r="M44" s="4" t="s">
        <v>27</v>
      </c>
      <c r="N44" s="4" t="s">
        <v>27</v>
      </c>
      <c r="O44" s="4" t="s">
        <v>27</v>
      </c>
      <c r="P44" s="6" t="str">
        <f t="shared" si="0"/>
        <v>待开发</v>
      </c>
      <c r="Q44" s="5" t="s">
        <v>150</v>
      </c>
      <c r="R44" s="5" t="s">
        <v>150</v>
      </c>
      <c r="S44" s="5" t="s">
        <v>150</v>
      </c>
      <c r="T44" s="5" t="s">
        <v>150</v>
      </c>
      <c r="U44" s="5" t="s">
        <v>150</v>
      </c>
      <c r="V44" s="5" t="s">
        <v>150</v>
      </c>
      <c r="W44" s="5" t="s">
        <v>150</v>
      </c>
    </row>
    <row r="45" ht="36" customHeight="1" spans="1:23">
      <c r="A45" s="4" t="s">
        <v>313</v>
      </c>
      <c r="B45" s="10" t="s">
        <v>121</v>
      </c>
      <c r="C45" s="4" t="s">
        <v>122</v>
      </c>
      <c r="D45" s="5" t="s">
        <v>93</v>
      </c>
      <c r="E45" s="5" t="s">
        <v>93</v>
      </c>
      <c r="F45" s="5" t="s">
        <v>314</v>
      </c>
      <c r="G45" s="5" t="s">
        <v>315</v>
      </c>
      <c r="H45" s="4" t="s">
        <v>316</v>
      </c>
      <c r="I45" s="9" t="s">
        <v>149</v>
      </c>
      <c r="J45" s="4" t="s">
        <v>31</v>
      </c>
      <c r="K45" s="4" t="s">
        <v>31</v>
      </c>
      <c r="L45" s="4" t="s">
        <v>27</v>
      </c>
      <c r="M45" s="4" t="s">
        <v>27</v>
      </c>
      <c r="N45" s="4" t="s">
        <v>27</v>
      </c>
      <c r="O45" s="4" t="s">
        <v>27</v>
      </c>
      <c r="P45" s="6" t="str">
        <f t="shared" si="0"/>
        <v>待开发</v>
      </c>
      <c r="Q45" s="5" t="s">
        <v>150</v>
      </c>
      <c r="R45" s="5" t="s">
        <v>150</v>
      </c>
      <c r="S45" s="5" t="s">
        <v>150</v>
      </c>
      <c r="T45" s="5" t="s">
        <v>150</v>
      </c>
      <c r="U45" s="5" t="s">
        <v>150</v>
      </c>
      <c r="V45" s="5" t="s">
        <v>150</v>
      </c>
      <c r="W45" s="5" t="s">
        <v>150</v>
      </c>
    </row>
    <row r="46" ht="36" customHeight="1" spans="1:23">
      <c r="A46" s="4" t="s">
        <v>317</v>
      </c>
      <c r="B46" s="10" t="s">
        <v>121</v>
      </c>
      <c r="C46" s="4" t="s">
        <v>122</v>
      </c>
      <c r="D46" s="5" t="s">
        <v>93</v>
      </c>
      <c r="E46" s="5" t="s">
        <v>93</v>
      </c>
      <c r="F46" s="5" t="s">
        <v>318</v>
      </c>
      <c r="G46" s="5" t="s">
        <v>319</v>
      </c>
      <c r="H46" s="4" t="s">
        <v>316</v>
      </c>
      <c r="I46" s="9" t="s">
        <v>149</v>
      </c>
      <c r="J46" s="4" t="s">
        <v>31</v>
      </c>
      <c r="K46" s="4" t="s">
        <v>31</v>
      </c>
      <c r="L46" s="4" t="s">
        <v>27</v>
      </c>
      <c r="M46" s="4" t="s">
        <v>27</v>
      </c>
      <c r="N46" s="4" t="s">
        <v>27</v>
      </c>
      <c r="O46" s="4" t="s">
        <v>27</v>
      </c>
      <c r="P46" s="6" t="str">
        <f t="shared" si="0"/>
        <v>待开发</v>
      </c>
      <c r="Q46" s="5" t="s">
        <v>150</v>
      </c>
      <c r="R46" s="5" t="s">
        <v>150</v>
      </c>
      <c r="S46" s="5" t="s">
        <v>150</v>
      </c>
      <c r="T46" s="5" t="s">
        <v>150</v>
      </c>
      <c r="U46" s="5" t="s">
        <v>150</v>
      </c>
      <c r="V46" s="5" t="s">
        <v>150</v>
      </c>
      <c r="W46" s="5" t="s">
        <v>150</v>
      </c>
    </row>
    <row r="47" ht="36" hidden="1" customHeight="1" spans="1:23">
      <c r="A47" s="4" t="s">
        <v>320</v>
      </c>
      <c r="B47" s="10" t="s">
        <v>121</v>
      </c>
      <c r="C47" s="4" t="s">
        <v>122</v>
      </c>
      <c r="D47" s="5" t="s">
        <v>93</v>
      </c>
      <c r="E47" s="5" t="s">
        <v>93</v>
      </c>
      <c r="F47" s="5" t="s">
        <v>321</v>
      </c>
      <c r="G47" s="5" t="s">
        <v>322</v>
      </c>
      <c r="H47" s="4" t="s">
        <v>323</v>
      </c>
      <c r="I47" s="11" t="s">
        <v>215</v>
      </c>
      <c r="J47" s="4" t="s">
        <v>31</v>
      </c>
      <c r="K47" s="4" t="s">
        <v>31</v>
      </c>
      <c r="L47" s="4" t="s">
        <v>27</v>
      </c>
      <c r="M47" s="4" t="s">
        <v>27</v>
      </c>
      <c r="N47" s="4" t="s">
        <v>27</v>
      </c>
      <c r="O47" s="4" t="s">
        <v>27</v>
      </c>
      <c r="P47" s="6" t="str">
        <f t="shared" si="0"/>
        <v>待开发</v>
      </c>
      <c r="Q47" s="5" t="s">
        <v>150</v>
      </c>
      <c r="R47" s="5" t="s">
        <v>150</v>
      </c>
      <c r="S47" s="5" t="s">
        <v>150</v>
      </c>
      <c r="T47" s="5" t="s">
        <v>150</v>
      </c>
      <c r="U47" s="5" t="s">
        <v>150</v>
      </c>
      <c r="V47" s="5" t="s">
        <v>150</v>
      </c>
      <c r="W47" s="5" t="s">
        <v>150</v>
      </c>
    </row>
    <row r="48" ht="36" customHeight="1" spans="1:23">
      <c r="A48" s="4" t="s">
        <v>324</v>
      </c>
      <c r="B48" s="10" t="s">
        <v>121</v>
      </c>
      <c r="C48" s="4" t="s">
        <v>122</v>
      </c>
      <c r="D48" s="5" t="s">
        <v>93</v>
      </c>
      <c r="E48" s="5" t="s">
        <v>93</v>
      </c>
      <c r="F48" s="5" t="s">
        <v>325</v>
      </c>
      <c r="G48" s="5" t="s">
        <v>326</v>
      </c>
      <c r="H48" s="4" t="s">
        <v>327</v>
      </c>
      <c r="I48" s="9" t="s">
        <v>149</v>
      </c>
      <c r="J48" s="4" t="s">
        <v>31</v>
      </c>
      <c r="K48" s="4" t="s">
        <v>31</v>
      </c>
      <c r="L48" s="4" t="s">
        <v>27</v>
      </c>
      <c r="M48" s="4" t="s">
        <v>27</v>
      </c>
      <c r="N48" s="4" t="s">
        <v>27</v>
      </c>
      <c r="O48" s="4" t="s">
        <v>27</v>
      </c>
      <c r="P48" s="6" t="str">
        <f t="shared" si="0"/>
        <v>待开发</v>
      </c>
      <c r="Q48" s="5" t="s">
        <v>150</v>
      </c>
      <c r="R48" s="5" t="s">
        <v>150</v>
      </c>
      <c r="S48" s="5" t="s">
        <v>150</v>
      </c>
      <c r="T48" s="5" t="s">
        <v>150</v>
      </c>
      <c r="U48" s="5" t="s">
        <v>150</v>
      </c>
      <c r="V48" s="5" t="s">
        <v>150</v>
      </c>
      <c r="W48" s="5" t="s">
        <v>150</v>
      </c>
    </row>
    <row r="49" ht="36" hidden="1" customHeight="1" spans="1:23">
      <c r="A49" s="4" t="s">
        <v>328</v>
      </c>
      <c r="B49" s="10" t="s">
        <v>121</v>
      </c>
      <c r="C49" s="4" t="s">
        <v>122</v>
      </c>
      <c r="D49" s="5" t="s">
        <v>93</v>
      </c>
      <c r="E49" s="5" t="s">
        <v>93</v>
      </c>
      <c r="F49" s="5" t="s">
        <v>329</v>
      </c>
      <c r="G49" s="5" t="s">
        <v>330</v>
      </c>
      <c r="H49" s="4" t="s">
        <v>331</v>
      </c>
      <c r="I49" s="11" t="s">
        <v>215</v>
      </c>
      <c r="J49" s="4" t="s">
        <v>31</v>
      </c>
      <c r="K49" s="4" t="s">
        <v>31</v>
      </c>
      <c r="L49" s="4" t="s">
        <v>27</v>
      </c>
      <c r="M49" s="4" t="s">
        <v>27</v>
      </c>
      <c r="N49" s="4" t="s">
        <v>27</v>
      </c>
      <c r="O49" s="4" t="s">
        <v>27</v>
      </c>
      <c r="P49" s="6" t="str">
        <f t="shared" si="0"/>
        <v>待开发</v>
      </c>
      <c r="Q49" s="5" t="s">
        <v>150</v>
      </c>
      <c r="R49" s="5" t="s">
        <v>150</v>
      </c>
      <c r="S49" s="5" t="s">
        <v>150</v>
      </c>
      <c r="T49" s="5" t="s">
        <v>150</v>
      </c>
      <c r="U49" s="5" t="s">
        <v>150</v>
      </c>
      <c r="V49" s="5" t="s">
        <v>150</v>
      </c>
      <c r="W49" s="5" t="s">
        <v>150</v>
      </c>
    </row>
    <row r="50" ht="36" customHeight="1" spans="1:23">
      <c r="A50" s="4" t="s">
        <v>332</v>
      </c>
      <c r="B50" s="10" t="s">
        <v>121</v>
      </c>
      <c r="C50" s="4" t="s">
        <v>122</v>
      </c>
      <c r="D50" s="5" t="s">
        <v>96</v>
      </c>
      <c r="E50" s="5" t="s">
        <v>333</v>
      </c>
      <c r="F50" s="5" t="s">
        <v>334</v>
      </c>
      <c r="G50" s="5" t="s">
        <v>335</v>
      </c>
      <c r="H50" s="4" t="s">
        <v>336</v>
      </c>
      <c r="I50" s="9" t="s">
        <v>149</v>
      </c>
      <c r="J50" s="4" t="s">
        <v>31</v>
      </c>
      <c r="K50" s="4" t="s">
        <v>31</v>
      </c>
      <c r="L50" s="4" t="s">
        <v>27</v>
      </c>
      <c r="M50" s="4" t="s">
        <v>27</v>
      </c>
      <c r="N50" s="4" t="s">
        <v>27</v>
      </c>
      <c r="O50" s="4" t="s">
        <v>27</v>
      </c>
      <c r="P50" s="6" t="str">
        <f t="shared" si="0"/>
        <v>待开发</v>
      </c>
      <c r="Q50" s="5" t="s">
        <v>150</v>
      </c>
      <c r="R50" s="5" t="s">
        <v>150</v>
      </c>
      <c r="S50" s="5" t="s">
        <v>150</v>
      </c>
      <c r="T50" s="5" t="s">
        <v>150</v>
      </c>
      <c r="U50" s="5" t="s">
        <v>150</v>
      </c>
      <c r="V50" s="5" t="s">
        <v>150</v>
      </c>
      <c r="W50" s="5" t="s">
        <v>150</v>
      </c>
    </row>
    <row r="51" ht="36" customHeight="1" spans="1:23">
      <c r="A51" s="4" t="s">
        <v>337</v>
      </c>
      <c r="B51" s="10" t="s">
        <v>121</v>
      </c>
      <c r="C51" s="4" t="s">
        <v>122</v>
      </c>
      <c r="D51" s="5" t="s">
        <v>96</v>
      </c>
      <c r="E51" s="5" t="s">
        <v>338</v>
      </c>
      <c r="F51" s="5" t="s">
        <v>339</v>
      </c>
      <c r="G51" s="5" t="s">
        <v>340</v>
      </c>
      <c r="H51" s="4" t="s">
        <v>181</v>
      </c>
      <c r="I51" s="9" t="s">
        <v>149</v>
      </c>
      <c r="J51" s="4" t="s">
        <v>31</v>
      </c>
      <c r="K51" s="4" t="s">
        <v>31</v>
      </c>
      <c r="L51" s="4" t="s">
        <v>27</v>
      </c>
      <c r="M51" s="4" t="s">
        <v>27</v>
      </c>
      <c r="N51" s="4" t="s">
        <v>27</v>
      </c>
      <c r="O51" s="4" t="s">
        <v>27</v>
      </c>
      <c r="P51" s="6" t="str">
        <f t="shared" si="0"/>
        <v>待开发</v>
      </c>
      <c r="Q51" s="5" t="s">
        <v>150</v>
      </c>
      <c r="R51" s="5" t="s">
        <v>150</v>
      </c>
      <c r="S51" s="5" t="s">
        <v>150</v>
      </c>
      <c r="T51" s="5" t="s">
        <v>150</v>
      </c>
      <c r="U51" s="5" t="s">
        <v>150</v>
      </c>
      <c r="V51" s="5" t="s">
        <v>150</v>
      </c>
      <c r="W51" s="5" t="s">
        <v>150</v>
      </c>
    </row>
    <row r="52" ht="36" customHeight="1" spans="1:23">
      <c r="A52" s="4" t="s">
        <v>341</v>
      </c>
      <c r="B52" s="10" t="s">
        <v>121</v>
      </c>
      <c r="C52" s="4" t="s">
        <v>122</v>
      </c>
      <c r="D52" s="5" t="s">
        <v>96</v>
      </c>
      <c r="E52" s="5" t="s">
        <v>342</v>
      </c>
      <c r="F52" s="5" t="s">
        <v>343</v>
      </c>
      <c r="G52" s="5" t="s">
        <v>344</v>
      </c>
      <c r="H52" s="4" t="s">
        <v>345</v>
      </c>
      <c r="I52" s="9" t="s">
        <v>149</v>
      </c>
      <c r="J52" s="4" t="s">
        <v>31</v>
      </c>
      <c r="K52" s="4" t="s">
        <v>31</v>
      </c>
      <c r="L52" s="4" t="s">
        <v>27</v>
      </c>
      <c r="M52" s="4" t="s">
        <v>27</v>
      </c>
      <c r="N52" s="4" t="s">
        <v>27</v>
      </c>
      <c r="O52" s="4" t="s">
        <v>27</v>
      </c>
      <c r="P52" s="6" t="str">
        <f t="shared" si="0"/>
        <v>待开发</v>
      </c>
      <c r="Q52" s="5" t="s">
        <v>150</v>
      </c>
      <c r="R52" s="5" t="s">
        <v>150</v>
      </c>
      <c r="S52" s="5" t="s">
        <v>150</v>
      </c>
      <c r="T52" s="5" t="s">
        <v>150</v>
      </c>
      <c r="U52" s="5" t="s">
        <v>150</v>
      </c>
      <c r="V52" s="5" t="s">
        <v>150</v>
      </c>
      <c r="W52" s="5" t="s">
        <v>150</v>
      </c>
    </row>
    <row r="53" ht="36" customHeight="1" spans="1:23">
      <c r="A53" s="4" t="s">
        <v>346</v>
      </c>
      <c r="B53" s="10" t="s">
        <v>121</v>
      </c>
      <c r="C53" s="4" t="s">
        <v>122</v>
      </c>
      <c r="D53" s="5" t="s">
        <v>96</v>
      </c>
      <c r="E53" s="5" t="s">
        <v>342</v>
      </c>
      <c r="F53" s="5" t="s">
        <v>347</v>
      </c>
      <c r="G53" s="5" t="s">
        <v>348</v>
      </c>
      <c r="H53" s="4" t="s">
        <v>345</v>
      </c>
      <c r="I53" s="9" t="s">
        <v>149</v>
      </c>
      <c r="J53" s="4" t="s">
        <v>31</v>
      </c>
      <c r="K53" s="4" t="s">
        <v>31</v>
      </c>
      <c r="L53" s="4" t="s">
        <v>27</v>
      </c>
      <c r="M53" s="4" t="s">
        <v>27</v>
      </c>
      <c r="N53" s="4" t="s">
        <v>27</v>
      </c>
      <c r="O53" s="4" t="s">
        <v>27</v>
      </c>
      <c r="P53" s="6" t="str">
        <f t="shared" si="0"/>
        <v>待开发</v>
      </c>
      <c r="Q53" s="5" t="s">
        <v>150</v>
      </c>
      <c r="R53" s="5" t="s">
        <v>150</v>
      </c>
      <c r="S53" s="5" t="s">
        <v>150</v>
      </c>
      <c r="T53" s="5" t="s">
        <v>150</v>
      </c>
      <c r="U53" s="5" t="s">
        <v>150</v>
      </c>
      <c r="V53" s="5" t="s">
        <v>150</v>
      </c>
      <c r="W53" s="5" t="s">
        <v>150</v>
      </c>
    </row>
    <row r="54" ht="36" customHeight="1" spans="1:23">
      <c r="A54" s="4" t="s">
        <v>349</v>
      </c>
      <c r="B54" s="10" t="s">
        <v>121</v>
      </c>
      <c r="C54" s="4" t="s">
        <v>122</v>
      </c>
      <c r="D54" s="5" t="s">
        <v>96</v>
      </c>
      <c r="E54" s="5" t="s">
        <v>342</v>
      </c>
      <c r="F54" s="5" t="s">
        <v>350</v>
      </c>
      <c r="G54" s="5" t="s">
        <v>351</v>
      </c>
      <c r="H54" s="4" t="s">
        <v>345</v>
      </c>
      <c r="I54" s="9" t="s">
        <v>149</v>
      </c>
      <c r="J54" s="4" t="s">
        <v>31</v>
      </c>
      <c r="K54" s="4" t="s">
        <v>31</v>
      </c>
      <c r="L54" s="4" t="s">
        <v>27</v>
      </c>
      <c r="M54" s="4" t="s">
        <v>27</v>
      </c>
      <c r="N54" s="4" t="s">
        <v>27</v>
      </c>
      <c r="O54" s="4" t="s">
        <v>27</v>
      </c>
      <c r="P54" s="6" t="str">
        <f t="shared" si="0"/>
        <v>待开发</v>
      </c>
      <c r="Q54" s="5" t="s">
        <v>150</v>
      </c>
      <c r="R54" s="5" t="s">
        <v>150</v>
      </c>
      <c r="S54" s="5" t="s">
        <v>150</v>
      </c>
      <c r="T54" s="5" t="s">
        <v>150</v>
      </c>
      <c r="U54" s="5" t="s">
        <v>150</v>
      </c>
      <c r="V54" s="5" t="s">
        <v>150</v>
      </c>
      <c r="W54" s="5" t="s">
        <v>150</v>
      </c>
    </row>
    <row r="55" ht="36" hidden="1" customHeight="1" spans="1:23">
      <c r="A55" s="4" t="s">
        <v>352</v>
      </c>
      <c r="B55" s="10" t="s">
        <v>121</v>
      </c>
      <c r="C55" s="4" t="s">
        <v>122</v>
      </c>
      <c r="D55" s="5" t="s">
        <v>96</v>
      </c>
      <c r="E55" s="5" t="s">
        <v>342</v>
      </c>
      <c r="F55" s="5" t="s">
        <v>353</v>
      </c>
      <c r="G55" s="5" t="s">
        <v>354</v>
      </c>
      <c r="H55" s="4" t="s">
        <v>345</v>
      </c>
      <c r="I55" s="11" t="s">
        <v>215</v>
      </c>
      <c r="J55" s="4" t="s">
        <v>31</v>
      </c>
      <c r="K55" s="4" t="s">
        <v>31</v>
      </c>
      <c r="L55" s="4" t="s">
        <v>27</v>
      </c>
      <c r="M55" s="4" t="s">
        <v>27</v>
      </c>
      <c r="N55" s="4" t="s">
        <v>27</v>
      </c>
      <c r="O55" s="4" t="s">
        <v>27</v>
      </c>
      <c r="P55" s="6" t="str">
        <f t="shared" si="0"/>
        <v>待开发</v>
      </c>
      <c r="Q55" s="5" t="s">
        <v>150</v>
      </c>
      <c r="R55" s="5" t="s">
        <v>150</v>
      </c>
      <c r="S55" s="5" t="s">
        <v>150</v>
      </c>
      <c r="T55" s="5" t="s">
        <v>150</v>
      </c>
      <c r="U55" s="5" t="s">
        <v>150</v>
      </c>
      <c r="V55" s="5" t="s">
        <v>150</v>
      </c>
      <c r="W55" s="5" t="s">
        <v>150</v>
      </c>
    </row>
    <row r="56" ht="36" customHeight="1" spans="1:23">
      <c r="A56" s="4" t="s">
        <v>355</v>
      </c>
      <c r="B56" s="10" t="s">
        <v>121</v>
      </c>
      <c r="C56" s="4" t="s">
        <v>122</v>
      </c>
      <c r="D56" s="5" t="s">
        <v>96</v>
      </c>
      <c r="E56" s="5" t="s">
        <v>342</v>
      </c>
      <c r="F56" s="5" t="s">
        <v>356</v>
      </c>
      <c r="G56" s="5" t="s">
        <v>357</v>
      </c>
      <c r="H56" s="4" t="s">
        <v>345</v>
      </c>
      <c r="I56" s="9" t="s">
        <v>149</v>
      </c>
      <c r="J56" s="4" t="s">
        <v>31</v>
      </c>
      <c r="K56" s="4" t="s">
        <v>31</v>
      </c>
      <c r="L56" s="4" t="s">
        <v>27</v>
      </c>
      <c r="M56" s="4" t="s">
        <v>27</v>
      </c>
      <c r="N56" s="4" t="s">
        <v>27</v>
      </c>
      <c r="O56" s="4" t="s">
        <v>27</v>
      </c>
      <c r="P56" s="6" t="str">
        <f t="shared" si="0"/>
        <v>待开发</v>
      </c>
      <c r="Q56" s="5" t="s">
        <v>150</v>
      </c>
      <c r="R56" s="5" t="s">
        <v>150</v>
      </c>
      <c r="S56" s="5" t="s">
        <v>150</v>
      </c>
      <c r="T56" s="5" t="s">
        <v>150</v>
      </c>
      <c r="U56" s="5" t="s">
        <v>150</v>
      </c>
      <c r="V56" s="5" t="s">
        <v>150</v>
      </c>
      <c r="W56" s="5" t="s">
        <v>150</v>
      </c>
    </row>
    <row r="57" ht="36" hidden="1" customHeight="1" spans="1:23">
      <c r="A57" s="4" t="s">
        <v>358</v>
      </c>
      <c r="B57" s="10" t="s">
        <v>121</v>
      </c>
      <c r="C57" s="4" t="s">
        <v>122</v>
      </c>
      <c r="D57" s="5" t="s">
        <v>96</v>
      </c>
      <c r="E57" s="5" t="s">
        <v>342</v>
      </c>
      <c r="F57" s="5" t="s">
        <v>359</v>
      </c>
      <c r="G57" s="5" t="s">
        <v>360</v>
      </c>
      <c r="H57" s="4" t="s">
        <v>148</v>
      </c>
      <c r="I57" s="11" t="s">
        <v>215</v>
      </c>
      <c r="J57" s="4" t="s">
        <v>31</v>
      </c>
      <c r="K57" s="4" t="s">
        <v>31</v>
      </c>
      <c r="L57" s="4" t="s">
        <v>27</v>
      </c>
      <c r="M57" s="4" t="s">
        <v>27</v>
      </c>
      <c r="N57" s="4" t="s">
        <v>27</v>
      </c>
      <c r="O57" s="4" t="s">
        <v>27</v>
      </c>
      <c r="P57" s="6" t="str">
        <f t="shared" si="0"/>
        <v>待开发</v>
      </c>
      <c r="Q57" s="5" t="s">
        <v>150</v>
      </c>
      <c r="R57" s="5" t="s">
        <v>150</v>
      </c>
      <c r="S57" s="5" t="s">
        <v>150</v>
      </c>
      <c r="T57" s="5" t="s">
        <v>150</v>
      </c>
      <c r="U57" s="5" t="s">
        <v>150</v>
      </c>
      <c r="V57" s="5" t="s">
        <v>150</v>
      </c>
      <c r="W57" s="5" t="s">
        <v>150</v>
      </c>
    </row>
    <row r="58" ht="36" customHeight="1" spans="1:23">
      <c r="A58" s="4" t="s">
        <v>361</v>
      </c>
      <c r="B58" s="10" t="s">
        <v>121</v>
      </c>
      <c r="C58" s="4" t="s">
        <v>122</v>
      </c>
      <c r="D58" s="5" t="s">
        <v>99</v>
      </c>
      <c r="E58" s="5" t="s">
        <v>362</v>
      </c>
      <c r="F58" s="5" t="s">
        <v>363</v>
      </c>
      <c r="G58" s="5" t="s">
        <v>364</v>
      </c>
      <c r="H58" s="4" t="s">
        <v>365</v>
      </c>
      <c r="I58" s="9" t="s">
        <v>149</v>
      </c>
      <c r="J58" s="4" t="s">
        <v>31</v>
      </c>
      <c r="K58" s="4" t="s">
        <v>31</v>
      </c>
      <c r="L58" s="4" t="s">
        <v>27</v>
      </c>
      <c r="M58" s="4" t="s">
        <v>27</v>
      </c>
      <c r="N58" s="4" t="s">
        <v>27</v>
      </c>
      <c r="O58" s="4" t="s">
        <v>27</v>
      </c>
      <c r="P58" s="6" t="str">
        <f t="shared" si="0"/>
        <v>待开发</v>
      </c>
      <c r="Q58" s="5" t="s">
        <v>150</v>
      </c>
      <c r="R58" s="5" t="s">
        <v>150</v>
      </c>
      <c r="S58" s="5" t="s">
        <v>150</v>
      </c>
      <c r="T58" s="5" t="s">
        <v>150</v>
      </c>
      <c r="U58" s="5" t="s">
        <v>150</v>
      </c>
      <c r="V58" s="5" t="s">
        <v>150</v>
      </c>
      <c r="W58" s="5" t="s">
        <v>366</v>
      </c>
    </row>
    <row r="59" ht="36" customHeight="1" spans="1:23">
      <c r="A59" s="4" t="s">
        <v>367</v>
      </c>
      <c r="B59" s="10" t="s">
        <v>121</v>
      </c>
      <c r="C59" s="4" t="s">
        <v>122</v>
      </c>
      <c r="D59" s="5" t="s">
        <v>99</v>
      </c>
      <c r="E59" s="5" t="s">
        <v>362</v>
      </c>
      <c r="F59" s="5" t="s">
        <v>368</v>
      </c>
      <c r="G59" s="5" t="s">
        <v>369</v>
      </c>
      <c r="H59" s="4" t="s">
        <v>148</v>
      </c>
      <c r="I59" s="9" t="s">
        <v>149</v>
      </c>
      <c r="J59" s="4" t="s">
        <v>31</v>
      </c>
      <c r="K59" s="4" t="s">
        <v>31</v>
      </c>
      <c r="L59" s="4" t="s">
        <v>27</v>
      </c>
      <c r="M59" s="4" t="s">
        <v>27</v>
      </c>
      <c r="N59" s="4" t="s">
        <v>27</v>
      </c>
      <c r="O59" s="4" t="s">
        <v>27</v>
      </c>
      <c r="P59" s="6" t="str">
        <f t="shared" si="0"/>
        <v>待开发</v>
      </c>
      <c r="Q59" s="5" t="s">
        <v>150</v>
      </c>
      <c r="R59" s="5" t="s">
        <v>150</v>
      </c>
      <c r="S59" s="5" t="s">
        <v>150</v>
      </c>
      <c r="T59" s="5" t="s">
        <v>150</v>
      </c>
      <c r="U59" s="5" t="s">
        <v>150</v>
      </c>
      <c r="V59" s="5" t="s">
        <v>150</v>
      </c>
      <c r="W59" s="5" t="s">
        <v>150</v>
      </c>
    </row>
    <row r="60" ht="36" customHeight="1" spans="1:23">
      <c r="A60" s="4" t="s">
        <v>370</v>
      </c>
      <c r="B60" s="10" t="s">
        <v>121</v>
      </c>
      <c r="C60" s="4" t="s">
        <v>122</v>
      </c>
      <c r="D60" s="5" t="s">
        <v>99</v>
      </c>
      <c r="E60" s="5" t="s">
        <v>362</v>
      </c>
      <c r="F60" s="5" t="s">
        <v>371</v>
      </c>
      <c r="G60" s="5" t="s">
        <v>372</v>
      </c>
      <c r="H60" s="4" t="s">
        <v>373</v>
      </c>
      <c r="I60" s="9" t="s">
        <v>149</v>
      </c>
      <c r="J60" s="4" t="s">
        <v>31</v>
      </c>
      <c r="K60" s="4" t="s">
        <v>31</v>
      </c>
      <c r="L60" s="4" t="s">
        <v>27</v>
      </c>
      <c r="M60" s="4" t="s">
        <v>27</v>
      </c>
      <c r="N60" s="4" t="s">
        <v>27</v>
      </c>
      <c r="O60" s="4" t="s">
        <v>27</v>
      </c>
      <c r="P60" s="6" t="str">
        <f t="shared" si="0"/>
        <v>待开发</v>
      </c>
      <c r="Q60" s="5" t="s">
        <v>150</v>
      </c>
      <c r="R60" s="5" t="s">
        <v>150</v>
      </c>
      <c r="S60" s="5" t="s">
        <v>150</v>
      </c>
      <c r="T60" s="5" t="s">
        <v>150</v>
      </c>
      <c r="U60" s="5" t="s">
        <v>150</v>
      </c>
      <c r="V60" s="5" t="s">
        <v>150</v>
      </c>
      <c r="W60" s="5" t="s">
        <v>150</v>
      </c>
    </row>
    <row r="61" ht="36" customHeight="1" spans="1:23">
      <c r="A61" s="4" t="s">
        <v>374</v>
      </c>
      <c r="B61" s="10" t="s">
        <v>121</v>
      </c>
      <c r="C61" s="4" t="s">
        <v>122</v>
      </c>
      <c r="D61" s="5" t="s">
        <v>99</v>
      </c>
      <c r="E61" s="5" t="s">
        <v>362</v>
      </c>
      <c r="F61" s="5" t="s">
        <v>375</v>
      </c>
      <c r="G61" s="5" t="s">
        <v>376</v>
      </c>
      <c r="H61" s="4" t="s">
        <v>373</v>
      </c>
      <c r="I61" s="9" t="s">
        <v>149</v>
      </c>
      <c r="J61" s="4" t="s">
        <v>31</v>
      </c>
      <c r="K61" s="4" t="s">
        <v>31</v>
      </c>
      <c r="L61" s="4" t="s">
        <v>27</v>
      </c>
      <c r="M61" s="4" t="s">
        <v>27</v>
      </c>
      <c r="N61" s="4" t="s">
        <v>27</v>
      </c>
      <c r="O61" s="4" t="s">
        <v>27</v>
      </c>
      <c r="P61" s="6" t="str">
        <f t="shared" si="0"/>
        <v>待开发</v>
      </c>
      <c r="Q61" s="5" t="s">
        <v>150</v>
      </c>
      <c r="R61" s="5" t="s">
        <v>150</v>
      </c>
      <c r="S61" s="5" t="s">
        <v>150</v>
      </c>
      <c r="T61" s="5" t="s">
        <v>150</v>
      </c>
      <c r="U61" s="5" t="s">
        <v>150</v>
      </c>
      <c r="V61" s="5" t="s">
        <v>150</v>
      </c>
      <c r="W61" s="5" t="s">
        <v>150</v>
      </c>
    </row>
    <row r="62" ht="36" customHeight="1" spans="1:23">
      <c r="A62" s="4" t="s">
        <v>377</v>
      </c>
      <c r="B62" s="10" t="s">
        <v>121</v>
      </c>
      <c r="C62" s="4" t="s">
        <v>122</v>
      </c>
      <c r="D62" s="5" t="s">
        <v>99</v>
      </c>
      <c r="E62" s="5" t="s">
        <v>362</v>
      </c>
      <c r="F62" s="5" t="s">
        <v>378</v>
      </c>
      <c r="G62" s="5" t="s">
        <v>379</v>
      </c>
      <c r="H62" s="4" t="s">
        <v>148</v>
      </c>
      <c r="I62" s="9" t="s">
        <v>149</v>
      </c>
      <c r="J62" s="4" t="s">
        <v>31</v>
      </c>
      <c r="K62" s="4" t="s">
        <v>31</v>
      </c>
      <c r="L62" s="4" t="s">
        <v>27</v>
      </c>
      <c r="M62" s="4" t="s">
        <v>27</v>
      </c>
      <c r="N62" s="4" t="s">
        <v>27</v>
      </c>
      <c r="O62" s="4" t="s">
        <v>27</v>
      </c>
      <c r="P62" s="6" t="str">
        <f t="shared" si="0"/>
        <v>待开发</v>
      </c>
      <c r="Q62" s="5" t="s">
        <v>150</v>
      </c>
      <c r="R62" s="5" t="s">
        <v>150</v>
      </c>
      <c r="S62" s="5" t="s">
        <v>150</v>
      </c>
      <c r="T62" s="5" t="s">
        <v>150</v>
      </c>
      <c r="U62" s="5" t="s">
        <v>150</v>
      </c>
      <c r="V62" s="5" t="s">
        <v>150</v>
      </c>
      <c r="W62" s="5" t="s">
        <v>150</v>
      </c>
    </row>
    <row r="63" ht="36" hidden="1" customHeight="1" spans="1:23">
      <c r="A63" s="4" t="s">
        <v>380</v>
      </c>
      <c r="B63" s="10" t="s">
        <v>121</v>
      </c>
      <c r="C63" s="4" t="s">
        <v>122</v>
      </c>
      <c r="D63" s="5" t="s">
        <v>99</v>
      </c>
      <c r="E63" s="5" t="s">
        <v>362</v>
      </c>
      <c r="F63" s="5" t="s">
        <v>381</v>
      </c>
      <c r="G63" s="5" t="s">
        <v>382</v>
      </c>
      <c r="H63" s="4" t="s">
        <v>148</v>
      </c>
      <c r="I63" s="11" t="s">
        <v>215</v>
      </c>
      <c r="J63" s="4" t="s">
        <v>31</v>
      </c>
      <c r="K63" s="4" t="s">
        <v>31</v>
      </c>
      <c r="L63" s="4" t="s">
        <v>27</v>
      </c>
      <c r="M63" s="4" t="s">
        <v>27</v>
      </c>
      <c r="N63" s="4" t="s">
        <v>27</v>
      </c>
      <c r="O63" s="4" t="s">
        <v>27</v>
      </c>
      <c r="P63" s="6" t="str">
        <f t="shared" si="0"/>
        <v>待开发</v>
      </c>
      <c r="Q63" s="5" t="s">
        <v>150</v>
      </c>
      <c r="R63" s="5" t="s">
        <v>150</v>
      </c>
      <c r="S63" s="5" t="s">
        <v>150</v>
      </c>
      <c r="T63" s="5" t="s">
        <v>150</v>
      </c>
      <c r="U63" s="5" t="s">
        <v>150</v>
      </c>
      <c r="V63" s="5" t="s">
        <v>150</v>
      </c>
      <c r="W63" s="5" t="s">
        <v>150</v>
      </c>
    </row>
    <row r="64" ht="36" customHeight="1" spans="1:23">
      <c r="A64" s="4" t="s">
        <v>383</v>
      </c>
      <c r="B64" s="10" t="s">
        <v>121</v>
      </c>
      <c r="C64" s="4" t="s">
        <v>122</v>
      </c>
      <c r="D64" s="5" t="s">
        <v>99</v>
      </c>
      <c r="E64" s="5" t="s">
        <v>362</v>
      </c>
      <c r="F64" s="5" t="s">
        <v>384</v>
      </c>
      <c r="G64" s="5" t="s">
        <v>385</v>
      </c>
      <c r="H64" s="4" t="s">
        <v>365</v>
      </c>
      <c r="I64" s="9" t="s">
        <v>149</v>
      </c>
      <c r="J64" s="4" t="s">
        <v>31</v>
      </c>
      <c r="K64" s="4" t="s">
        <v>31</v>
      </c>
      <c r="L64" s="4" t="s">
        <v>27</v>
      </c>
      <c r="M64" s="4" t="s">
        <v>27</v>
      </c>
      <c r="N64" s="4" t="s">
        <v>27</v>
      </c>
      <c r="O64" s="4" t="s">
        <v>27</v>
      </c>
      <c r="P64" s="6" t="str">
        <f t="shared" si="0"/>
        <v>待开发</v>
      </c>
      <c r="Q64" s="5" t="s">
        <v>150</v>
      </c>
      <c r="R64" s="5" t="s">
        <v>150</v>
      </c>
      <c r="S64" s="5" t="s">
        <v>150</v>
      </c>
      <c r="T64" s="5" t="s">
        <v>150</v>
      </c>
      <c r="U64" s="5" t="s">
        <v>150</v>
      </c>
      <c r="V64" s="5" t="s">
        <v>150</v>
      </c>
      <c r="W64" s="5" t="s">
        <v>386</v>
      </c>
    </row>
    <row r="65" ht="36" customHeight="1" spans="1:23">
      <c r="A65" s="4" t="s">
        <v>387</v>
      </c>
      <c r="B65" s="12" t="s">
        <v>123</v>
      </c>
      <c r="C65" s="4" t="s">
        <v>124</v>
      </c>
      <c r="D65" s="5" t="s">
        <v>101</v>
      </c>
      <c r="E65" s="5" t="s">
        <v>101</v>
      </c>
      <c r="F65" s="5" t="s">
        <v>388</v>
      </c>
      <c r="G65" s="5" t="s">
        <v>389</v>
      </c>
      <c r="H65" s="4" t="s">
        <v>390</v>
      </c>
      <c r="I65" s="9" t="s">
        <v>149</v>
      </c>
      <c r="J65" s="4" t="s">
        <v>31</v>
      </c>
      <c r="K65" s="4" t="s">
        <v>31</v>
      </c>
      <c r="L65" s="4" t="s">
        <v>27</v>
      </c>
      <c r="M65" s="4" t="s">
        <v>27</v>
      </c>
      <c r="N65" s="4" t="s">
        <v>27</v>
      </c>
      <c r="O65" s="4" t="s">
        <v>27</v>
      </c>
      <c r="P65" s="6" t="str">
        <f t="shared" si="0"/>
        <v>待开发</v>
      </c>
      <c r="Q65" s="5" t="s">
        <v>150</v>
      </c>
      <c r="R65" s="5" t="s">
        <v>150</v>
      </c>
      <c r="S65" s="5" t="s">
        <v>150</v>
      </c>
      <c r="T65" s="5" t="s">
        <v>150</v>
      </c>
      <c r="U65" s="5" t="s">
        <v>150</v>
      </c>
      <c r="V65" s="5" t="s">
        <v>150</v>
      </c>
      <c r="W65" s="5" t="s">
        <v>150</v>
      </c>
    </row>
    <row r="66" ht="36" customHeight="1" spans="1:23">
      <c r="A66" s="4" t="s">
        <v>391</v>
      </c>
      <c r="B66" s="12" t="s">
        <v>123</v>
      </c>
      <c r="C66" s="4" t="s">
        <v>124</v>
      </c>
      <c r="D66" s="5" t="s">
        <v>101</v>
      </c>
      <c r="E66" s="5" t="s">
        <v>101</v>
      </c>
      <c r="F66" s="5" t="s">
        <v>392</v>
      </c>
      <c r="G66" s="5" t="s">
        <v>393</v>
      </c>
      <c r="H66" s="4" t="s">
        <v>390</v>
      </c>
      <c r="I66" s="9" t="s">
        <v>149</v>
      </c>
      <c r="J66" s="4" t="s">
        <v>31</v>
      </c>
      <c r="K66" s="4" t="s">
        <v>31</v>
      </c>
      <c r="L66" s="4" t="s">
        <v>27</v>
      </c>
      <c r="M66" s="4" t="s">
        <v>27</v>
      </c>
      <c r="N66" s="4" t="s">
        <v>27</v>
      </c>
      <c r="O66" s="4" t="s">
        <v>27</v>
      </c>
      <c r="P66" s="6" t="str">
        <f t="shared" ref="P66:P129" si="1">IF(COUNTIF(J66:O66,"阻塞")&gt;0,"阻塞",IF(COUNTIFS(J66:O66,"&lt;&gt;已完成",J66:O66,"&lt;&gt;不适用")=0,"已完成",IF(OR(O66="进行中",AND(OR(L66="已完成",L66="不适用"),OR(M66="已完成",M66="不适用"),OR(N66="已完成",N66="不适用"),AND(O66&lt;&gt;"已完成",O66&lt;&gt;"不适用"),OR(L66="已完成",M66="已完成",N66="已完成"))),"测试中",IF(OR(N66="进行中",AND(OR(L66="已完成",L66="不适用"),OR(M66="已完成",M66="不适用"),AND(N66&lt;&gt;"已完成",N66&lt;&gt;"不适用"),OR(L66="已完成",M66="已完成"))),"对接中",IF(OR(L66="进行中",L66="已完成",M66="进行中",M66="已完成"),"开发中",IF(AND(OR(J66="已完成",J66="不适用"),OR(K66="已完成",K66="不适用")),"待开发",IF(K66="进行中","UI设计中",IF(OR(J66="进行中",J66="已完成"),"原型中","未开始"))))))))</f>
        <v>待开发</v>
      </c>
      <c r="Q66" s="5" t="s">
        <v>150</v>
      </c>
      <c r="R66" s="5" t="s">
        <v>150</v>
      </c>
      <c r="S66" s="5" t="s">
        <v>150</v>
      </c>
      <c r="T66" s="5" t="s">
        <v>150</v>
      </c>
      <c r="U66" s="5" t="s">
        <v>150</v>
      </c>
      <c r="V66" s="5" t="s">
        <v>150</v>
      </c>
      <c r="W66" s="5" t="s">
        <v>150</v>
      </c>
    </row>
    <row r="67" ht="36" customHeight="1" spans="1:23">
      <c r="A67" s="4" t="s">
        <v>394</v>
      </c>
      <c r="B67" s="12" t="s">
        <v>123</v>
      </c>
      <c r="C67" s="4" t="s">
        <v>124</v>
      </c>
      <c r="D67" s="5" t="s">
        <v>101</v>
      </c>
      <c r="E67" s="5" t="s">
        <v>101</v>
      </c>
      <c r="F67" s="5" t="s">
        <v>395</v>
      </c>
      <c r="G67" s="5" t="s">
        <v>396</v>
      </c>
      <c r="H67" s="4" t="s">
        <v>281</v>
      </c>
      <c r="I67" s="9" t="s">
        <v>149</v>
      </c>
      <c r="J67" s="4" t="s">
        <v>31</v>
      </c>
      <c r="K67" s="4" t="s">
        <v>31</v>
      </c>
      <c r="L67" s="4" t="s">
        <v>27</v>
      </c>
      <c r="M67" s="4" t="s">
        <v>27</v>
      </c>
      <c r="N67" s="4" t="s">
        <v>27</v>
      </c>
      <c r="O67" s="4" t="s">
        <v>27</v>
      </c>
      <c r="P67" s="6" t="str">
        <f t="shared" si="1"/>
        <v>待开发</v>
      </c>
      <c r="Q67" s="5" t="s">
        <v>150</v>
      </c>
      <c r="R67" s="5" t="s">
        <v>150</v>
      </c>
      <c r="S67" s="5" t="s">
        <v>150</v>
      </c>
      <c r="T67" s="5" t="s">
        <v>150</v>
      </c>
      <c r="U67" s="5" t="s">
        <v>150</v>
      </c>
      <c r="V67" s="5" t="s">
        <v>150</v>
      </c>
      <c r="W67" s="5" t="s">
        <v>150</v>
      </c>
    </row>
    <row r="68" ht="36" customHeight="1" spans="1:23">
      <c r="A68" s="4" t="s">
        <v>397</v>
      </c>
      <c r="B68" s="12" t="s">
        <v>123</v>
      </c>
      <c r="C68" s="4" t="s">
        <v>124</v>
      </c>
      <c r="D68" s="5" t="s">
        <v>101</v>
      </c>
      <c r="E68" s="5" t="s">
        <v>101</v>
      </c>
      <c r="F68" s="5" t="s">
        <v>398</v>
      </c>
      <c r="G68" s="5" t="s">
        <v>399</v>
      </c>
      <c r="H68" s="4" t="s">
        <v>219</v>
      </c>
      <c r="I68" s="9" t="s">
        <v>149</v>
      </c>
      <c r="J68" s="4" t="s">
        <v>31</v>
      </c>
      <c r="K68" s="4" t="s">
        <v>31</v>
      </c>
      <c r="L68" s="4" t="s">
        <v>27</v>
      </c>
      <c r="M68" s="4" t="s">
        <v>27</v>
      </c>
      <c r="N68" s="4" t="s">
        <v>27</v>
      </c>
      <c r="O68" s="4" t="s">
        <v>27</v>
      </c>
      <c r="P68" s="6" t="str">
        <f t="shared" si="1"/>
        <v>待开发</v>
      </c>
      <c r="Q68" s="5" t="s">
        <v>150</v>
      </c>
      <c r="R68" s="5" t="s">
        <v>150</v>
      </c>
      <c r="S68" s="5" t="s">
        <v>150</v>
      </c>
      <c r="T68" s="5" t="s">
        <v>150</v>
      </c>
      <c r="U68" s="5" t="s">
        <v>150</v>
      </c>
      <c r="V68" s="5" t="s">
        <v>150</v>
      </c>
      <c r="W68" s="5" t="s">
        <v>150</v>
      </c>
    </row>
    <row r="69" ht="36" customHeight="1" spans="1:23">
      <c r="A69" s="4" t="s">
        <v>400</v>
      </c>
      <c r="B69" s="12" t="s">
        <v>123</v>
      </c>
      <c r="C69" s="4" t="s">
        <v>124</v>
      </c>
      <c r="D69" s="5" t="s">
        <v>101</v>
      </c>
      <c r="E69" s="5" t="s">
        <v>101</v>
      </c>
      <c r="F69" s="5" t="s">
        <v>401</v>
      </c>
      <c r="G69" s="5" t="s">
        <v>402</v>
      </c>
      <c r="H69" s="4" t="s">
        <v>281</v>
      </c>
      <c r="I69" s="9" t="s">
        <v>149</v>
      </c>
      <c r="J69" s="4" t="s">
        <v>31</v>
      </c>
      <c r="K69" s="4" t="s">
        <v>31</v>
      </c>
      <c r="L69" s="4" t="s">
        <v>27</v>
      </c>
      <c r="M69" s="4" t="s">
        <v>27</v>
      </c>
      <c r="N69" s="4" t="s">
        <v>27</v>
      </c>
      <c r="O69" s="4" t="s">
        <v>27</v>
      </c>
      <c r="P69" s="6" t="str">
        <f t="shared" si="1"/>
        <v>待开发</v>
      </c>
      <c r="Q69" s="5" t="s">
        <v>150</v>
      </c>
      <c r="R69" s="5" t="s">
        <v>150</v>
      </c>
      <c r="S69" s="5" t="s">
        <v>150</v>
      </c>
      <c r="T69" s="5" t="s">
        <v>150</v>
      </c>
      <c r="U69" s="5" t="s">
        <v>150</v>
      </c>
      <c r="V69" s="5" t="s">
        <v>150</v>
      </c>
      <c r="W69" s="5" t="s">
        <v>150</v>
      </c>
    </row>
    <row r="70" ht="36" customHeight="1" spans="1:23">
      <c r="A70" s="4" t="s">
        <v>403</v>
      </c>
      <c r="B70" s="12" t="s">
        <v>123</v>
      </c>
      <c r="C70" s="4" t="s">
        <v>124</v>
      </c>
      <c r="D70" s="5" t="s">
        <v>101</v>
      </c>
      <c r="E70" s="5" t="s">
        <v>101</v>
      </c>
      <c r="F70" s="5" t="s">
        <v>404</v>
      </c>
      <c r="G70" s="5" t="s">
        <v>405</v>
      </c>
      <c r="H70" s="4" t="s">
        <v>406</v>
      </c>
      <c r="I70" s="9" t="s">
        <v>149</v>
      </c>
      <c r="J70" s="4" t="s">
        <v>31</v>
      </c>
      <c r="K70" s="4" t="s">
        <v>31</v>
      </c>
      <c r="L70" s="4" t="s">
        <v>27</v>
      </c>
      <c r="M70" s="4" t="s">
        <v>27</v>
      </c>
      <c r="N70" s="4" t="s">
        <v>27</v>
      </c>
      <c r="O70" s="4" t="s">
        <v>27</v>
      </c>
      <c r="P70" s="6" t="str">
        <f t="shared" si="1"/>
        <v>待开发</v>
      </c>
      <c r="Q70" s="5" t="s">
        <v>150</v>
      </c>
      <c r="R70" s="5" t="s">
        <v>150</v>
      </c>
      <c r="S70" s="5" t="s">
        <v>150</v>
      </c>
      <c r="T70" s="5" t="s">
        <v>150</v>
      </c>
      <c r="U70" s="5" t="s">
        <v>150</v>
      </c>
      <c r="V70" s="5" t="s">
        <v>150</v>
      </c>
      <c r="W70" s="5" t="s">
        <v>150</v>
      </c>
    </row>
    <row r="71" ht="36" customHeight="1" spans="1:23">
      <c r="A71" s="4" t="s">
        <v>407</v>
      </c>
      <c r="B71" s="12" t="s">
        <v>123</v>
      </c>
      <c r="C71" s="4" t="s">
        <v>124</v>
      </c>
      <c r="D71" s="5" t="s">
        <v>101</v>
      </c>
      <c r="E71" s="5" t="s">
        <v>101</v>
      </c>
      <c r="F71" s="5" t="s">
        <v>408</v>
      </c>
      <c r="G71" s="5" t="s">
        <v>409</v>
      </c>
      <c r="H71" s="4" t="s">
        <v>281</v>
      </c>
      <c r="I71" s="9" t="s">
        <v>149</v>
      </c>
      <c r="J71" s="4" t="s">
        <v>31</v>
      </c>
      <c r="K71" s="4" t="s">
        <v>31</v>
      </c>
      <c r="L71" s="4" t="s">
        <v>27</v>
      </c>
      <c r="M71" s="4" t="s">
        <v>27</v>
      </c>
      <c r="N71" s="4" t="s">
        <v>27</v>
      </c>
      <c r="O71" s="4" t="s">
        <v>27</v>
      </c>
      <c r="P71" s="6" t="str">
        <f t="shared" si="1"/>
        <v>待开发</v>
      </c>
      <c r="Q71" s="5" t="s">
        <v>150</v>
      </c>
      <c r="R71" s="5" t="s">
        <v>150</v>
      </c>
      <c r="S71" s="5" t="s">
        <v>150</v>
      </c>
      <c r="T71" s="5" t="s">
        <v>150</v>
      </c>
      <c r="U71" s="5" t="s">
        <v>150</v>
      </c>
      <c r="V71" s="5" t="s">
        <v>150</v>
      </c>
      <c r="W71" s="5" t="s">
        <v>150</v>
      </c>
    </row>
    <row r="72" ht="36" customHeight="1" spans="1:23">
      <c r="A72" s="4" t="s">
        <v>410</v>
      </c>
      <c r="B72" s="12" t="s">
        <v>123</v>
      </c>
      <c r="C72" s="4" t="s">
        <v>124</v>
      </c>
      <c r="D72" s="5" t="s">
        <v>101</v>
      </c>
      <c r="E72" s="5" t="s">
        <v>101</v>
      </c>
      <c r="F72" s="5" t="s">
        <v>411</v>
      </c>
      <c r="G72" s="5" t="s">
        <v>412</v>
      </c>
      <c r="H72" s="4" t="s">
        <v>281</v>
      </c>
      <c r="I72" s="9" t="s">
        <v>149</v>
      </c>
      <c r="J72" s="4" t="s">
        <v>31</v>
      </c>
      <c r="K72" s="4" t="s">
        <v>31</v>
      </c>
      <c r="L72" s="4" t="s">
        <v>27</v>
      </c>
      <c r="M72" s="4" t="s">
        <v>27</v>
      </c>
      <c r="N72" s="4" t="s">
        <v>27</v>
      </c>
      <c r="O72" s="4" t="s">
        <v>27</v>
      </c>
      <c r="P72" s="6" t="str">
        <f t="shared" si="1"/>
        <v>待开发</v>
      </c>
      <c r="Q72" s="5" t="s">
        <v>150</v>
      </c>
      <c r="R72" s="5" t="s">
        <v>150</v>
      </c>
      <c r="S72" s="5" t="s">
        <v>150</v>
      </c>
      <c r="T72" s="5" t="s">
        <v>150</v>
      </c>
      <c r="U72" s="5" t="s">
        <v>150</v>
      </c>
      <c r="V72" s="5" t="s">
        <v>150</v>
      </c>
      <c r="W72" s="5" t="s">
        <v>150</v>
      </c>
    </row>
    <row r="73" ht="36" customHeight="1" spans="1:23">
      <c r="A73" s="4" t="s">
        <v>413</v>
      </c>
      <c r="B73" s="12" t="s">
        <v>123</v>
      </c>
      <c r="C73" s="4" t="s">
        <v>124</v>
      </c>
      <c r="D73" s="5" t="s">
        <v>101</v>
      </c>
      <c r="E73" s="5" t="s">
        <v>101</v>
      </c>
      <c r="F73" s="5" t="s">
        <v>414</v>
      </c>
      <c r="G73" s="5" t="s">
        <v>415</v>
      </c>
      <c r="H73" s="4" t="s">
        <v>406</v>
      </c>
      <c r="I73" s="9" t="s">
        <v>149</v>
      </c>
      <c r="J73" s="4" t="s">
        <v>31</v>
      </c>
      <c r="K73" s="4" t="s">
        <v>31</v>
      </c>
      <c r="L73" s="4" t="s">
        <v>27</v>
      </c>
      <c r="M73" s="4" t="s">
        <v>27</v>
      </c>
      <c r="N73" s="4" t="s">
        <v>27</v>
      </c>
      <c r="O73" s="4" t="s">
        <v>27</v>
      </c>
      <c r="P73" s="6" t="str">
        <f t="shared" si="1"/>
        <v>待开发</v>
      </c>
      <c r="Q73" s="5" t="s">
        <v>150</v>
      </c>
      <c r="R73" s="5" t="s">
        <v>150</v>
      </c>
      <c r="S73" s="5" t="s">
        <v>150</v>
      </c>
      <c r="T73" s="5" t="s">
        <v>150</v>
      </c>
      <c r="U73" s="5" t="s">
        <v>150</v>
      </c>
      <c r="V73" s="5" t="s">
        <v>150</v>
      </c>
      <c r="W73" s="5" t="s">
        <v>150</v>
      </c>
    </row>
    <row r="74" ht="36" customHeight="1" spans="1:23">
      <c r="A74" s="4" t="s">
        <v>416</v>
      </c>
      <c r="B74" s="12" t="s">
        <v>123</v>
      </c>
      <c r="C74" s="4" t="s">
        <v>124</v>
      </c>
      <c r="D74" s="5" t="s">
        <v>101</v>
      </c>
      <c r="E74" s="5" t="s">
        <v>101</v>
      </c>
      <c r="F74" s="5" t="s">
        <v>417</v>
      </c>
      <c r="G74" s="5" t="s">
        <v>418</v>
      </c>
      <c r="H74" s="4" t="s">
        <v>406</v>
      </c>
      <c r="I74" s="9" t="s">
        <v>149</v>
      </c>
      <c r="J74" s="4" t="s">
        <v>31</v>
      </c>
      <c r="K74" s="4" t="s">
        <v>31</v>
      </c>
      <c r="L74" s="4" t="s">
        <v>27</v>
      </c>
      <c r="M74" s="4" t="s">
        <v>27</v>
      </c>
      <c r="N74" s="4" t="s">
        <v>27</v>
      </c>
      <c r="O74" s="4" t="s">
        <v>27</v>
      </c>
      <c r="P74" s="6" t="str">
        <f t="shared" si="1"/>
        <v>待开发</v>
      </c>
      <c r="Q74" s="5" t="s">
        <v>150</v>
      </c>
      <c r="R74" s="5" t="s">
        <v>150</v>
      </c>
      <c r="S74" s="5" t="s">
        <v>150</v>
      </c>
      <c r="T74" s="5" t="s">
        <v>150</v>
      </c>
      <c r="U74" s="5" t="s">
        <v>150</v>
      </c>
      <c r="V74" s="5" t="s">
        <v>150</v>
      </c>
      <c r="W74" s="5" t="s">
        <v>150</v>
      </c>
    </row>
    <row r="75" ht="36" customHeight="1" spans="1:23">
      <c r="A75" s="4" t="s">
        <v>419</v>
      </c>
      <c r="B75" s="12" t="s">
        <v>123</v>
      </c>
      <c r="C75" s="4" t="s">
        <v>124</v>
      </c>
      <c r="D75" s="5" t="s">
        <v>101</v>
      </c>
      <c r="E75" s="5" t="s">
        <v>101</v>
      </c>
      <c r="F75" s="5" t="s">
        <v>420</v>
      </c>
      <c r="G75" s="5" t="s">
        <v>421</v>
      </c>
      <c r="H75" s="4" t="s">
        <v>281</v>
      </c>
      <c r="I75" s="9" t="s">
        <v>149</v>
      </c>
      <c r="J75" s="4" t="s">
        <v>31</v>
      </c>
      <c r="K75" s="4" t="s">
        <v>31</v>
      </c>
      <c r="L75" s="4" t="s">
        <v>27</v>
      </c>
      <c r="M75" s="4" t="s">
        <v>27</v>
      </c>
      <c r="N75" s="4" t="s">
        <v>27</v>
      </c>
      <c r="O75" s="4" t="s">
        <v>27</v>
      </c>
      <c r="P75" s="6" t="str">
        <f t="shared" si="1"/>
        <v>待开发</v>
      </c>
      <c r="Q75" s="5" t="s">
        <v>150</v>
      </c>
      <c r="R75" s="5" t="s">
        <v>150</v>
      </c>
      <c r="S75" s="5" t="s">
        <v>150</v>
      </c>
      <c r="T75" s="5" t="s">
        <v>150</v>
      </c>
      <c r="U75" s="5" t="s">
        <v>150</v>
      </c>
      <c r="V75" s="5" t="s">
        <v>150</v>
      </c>
      <c r="W75" s="5" t="s">
        <v>150</v>
      </c>
    </row>
    <row r="76" ht="36" customHeight="1" spans="1:23">
      <c r="A76" s="4" t="s">
        <v>422</v>
      </c>
      <c r="B76" s="12" t="s">
        <v>123</v>
      </c>
      <c r="C76" s="4" t="s">
        <v>124</v>
      </c>
      <c r="D76" s="5" t="s">
        <v>101</v>
      </c>
      <c r="E76" s="5" t="s">
        <v>101</v>
      </c>
      <c r="F76" s="5" t="s">
        <v>423</v>
      </c>
      <c r="G76" s="5" t="s">
        <v>424</v>
      </c>
      <c r="H76" s="4" t="s">
        <v>281</v>
      </c>
      <c r="I76" s="9" t="s">
        <v>149</v>
      </c>
      <c r="J76" s="4" t="s">
        <v>31</v>
      </c>
      <c r="K76" s="4" t="s">
        <v>31</v>
      </c>
      <c r="L76" s="4" t="s">
        <v>27</v>
      </c>
      <c r="M76" s="4" t="s">
        <v>27</v>
      </c>
      <c r="N76" s="4" t="s">
        <v>27</v>
      </c>
      <c r="O76" s="4" t="s">
        <v>27</v>
      </c>
      <c r="P76" s="6" t="str">
        <f t="shared" si="1"/>
        <v>待开发</v>
      </c>
      <c r="Q76" s="5" t="s">
        <v>150</v>
      </c>
      <c r="R76" s="5" t="s">
        <v>150</v>
      </c>
      <c r="S76" s="5" t="s">
        <v>150</v>
      </c>
      <c r="T76" s="5" t="s">
        <v>150</v>
      </c>
      <c r="U76" s="5" t="s">
        <v>150</v>
      </c>
      <c r="V76" s="5" t="s">
        <v>150</v>
      </c>
      <c r="W76" s="5" t="s">
        <v>150</v>
      </c>
    </row>
    <row r="77" ht="36" customHeight="1" spans="1:23">
      <c r="A77" s="4" t="s">
        <v>425</v>
      </c>
      <c r="B77" s="12" t="s">
        <v>123</v>
      </c>
      <c r="C77" s="4" t="s">
        <v>124</v>
      </c>
      <c r="D77" s="5" t="s">
        <v>101</v>
      </c>
      <c r="E77" s="5" t="s">
        <v>101</v>
      </c>
      <c r="F77" s="5" t="s">
        <v>426</v>
      </c>
      <c r="G77" s="5" t="s">
        <v>427</v>
      </c>
      <c r="H77" s="4" t="s">
        <v>296</v>
      </c>
      <c r="I77" s="9" t="s">
        <v>149</v>
      </c>
      <c r="J77" s="4" t="s">
        <v>31</v>
      </c>
      <c r="K77" s="4" t="s">
        <v>31</v>
      </c>
      <c r="L77" s="4" t="s">
        <v>27</v>
      </c>
      <c r="M77" s="4" t="s">
        <v>27</v>
      </c>
      <c r="N77" s="4" t="s">
        <v>27</v>
      </c>
      <c r="O77" s="4" t="s">
        <v>27</v>
      </c>
      <c r="P77" s="6" t="str">
        <f t="shared" si="1"/>
        <v>待开发</v>
      </c>
      <c r="Q77" s="5" t="s">
        <v>150</v>
      </c>
      <c r="R77" s="5" t="s">
        <v>150</v>
      </c>
      <c r="S77" s="5" t="s">
        <v>150</v>
      </c>
      <c r="T77" s="5" t="s">
        <v>150</v>
      </c>
      <c r="U77" s="5" t="s">
        <v>150</v>
      </c>
      <c r="V77" s="5" t="s">
        <v>150</v>
      </c>
      <c r="W77" s="5" t="s">
        <v>150</v>
      </c>
    </row>
    <row r="78" ht="36" customHeight="1" spans="1:23">
      <c r="A78" s="4" t="s">
        <v>428</v>
      </c>
      <c r="B78" s="12" t="s">
        <v>123</v>
      </c>
      <c r="C78" s="4" t="s">
        <v>124</v>
      </c>
      <c r="D78" s="5" t="s">
        <v>102</v>
      </c>
      <c r="E78" s="5" t="s">
        <v>102</v>
      </c>
      <c r="F78" s="5" t="s">
        <v>429</v>
      </c>
      <c r="G78" s="5" t="s">
        <v>430</v>
      </c>
      <c r="H78" s="4" t="s">
        <v>431</v>
      </c>
      <c r="I78" s="9" t="s">
        <v>149</v>
      </c>
      <c r="J78" s="4" t="s">
        <v>31</v>
      </c>
      <c r="K78" s="4" t="s">
        <v>31</v>
      </c>
      <c r="L78" s="4" t="s">
        <v>27</v>
      </c>
      <c r="M78" s="4" t="s">
        <v>27</v>
      </c>
      <c r="N78" s="4" t="s">
        <v>27</v>
      </c>
      <c r="O78" s="4" t="s">
        <v>27</v>
      </c>
      <c r="P78" s="6" t="str">
        <f t="shared" si="1"/>
        <v>待开发</v>
      </c>
      <c r="Q78" s="5" t="s">
        <v>150</v>
      </c>
      <c r="R78" s="5" t="s">
        <v>150</v>
      </c>
      <c r="S78" s="5" t="s">
        <v>150</v>
      </c>
      <c r="T78" s="5" t="s">
        <v>150</v>
      </c>
      <c r="U78" s="5" t="s">
        <v>150</v>
      </c>
      <c r="V78" s="5" t="s">
        <v>150</v>
      </c>
      <c r="W78" s="5" t="s">
        <v>150</v>
      </c>
    </row>
    <row r="79" ht="36" customHeight="1" spans="1:23">
      <c r="A79" s="4" t="s">
        <v>432</v>
      </c>
      <c r="B79" s="12" t="s">
        <v>123</v>
      </c>
      <c r="C79" s="4" t="s">
        <v>124</v>
      </c>
      <c r="D79" s="5" t="s">
        <v>102</v>
      </c>
      <c r="E79" s="5" t="s">
        <v>102</v>
      </c>
      <c r="F79" s="5" t="s">
        <v>433</v>
      </c>
      <c r="G79" s="5" t="s">
        <v>434</v>
      </c>
      <c r="H79" s="4" t="s">
        <v>435</v>
      </c>
      <c r="I79" s="9" t="s">
        <v>149</v>
      </c>
      <c r="J79" s="4" t="s">
        <v>31</v>
      </c>
      <c r="K79" s="4" t="s">
        <v>31</v>
      </c>
      <c r="L79" s="4" t="s">
        <v>27</v>
      </c>
      <c r="M79" s="4" t="s">
        <v>27</v>
      </c>
      <c r="N79" s="4" t="s">
        <v>27</v>
      </c>
      <c r="O79" s="4" t="s">
        <v>27</v>
      </c>
      <c r="P79" s="6" t="str">
        <f t="shared" si="1"/>
        <v>待开发</v>
      </c>
      <c r="Q79" s="5" t="s">
        <v>150</v>
      </c>
      <c r="R79" s="5" t="s">
        <v>150</v>
      </c>
      <c r="S79" s="5" t="s">
        <v>150</v>
      </c>
      <c r="T79" s="5" t="s">
        <v>150</v>
      </c>
      <c r="U79" s="5" t="s">
        <v>150</v>
      </c>
      <c r="V79" s="5" t="s">
        <v>150</v>
      </c>
      <c r="W79" s="5" t="s">
        <v>150</v>
      </c>
    </row>
    <row r="80" ht="36" customHeight="1" spans="1:23">
      <c r="A80" s="4" t="s">
        <v>436</v>
      </c>
      <c r="B80" s="12" t="s">
        <v>123</v>
      </c>
      <c r="C80" s="4" t="s">
        <v>124</v>
      </c>
      <c r="D80" s="5" t="s">
        <v>102</v>
      </c>
      <c r="E80" s="5" t="s">
        <v>102</v>
      </c>
      <c r="F80" s="5" t="s">
        <v>437</v>
      </c>
      <c r="G80" s="5" t="s">
        <v>438</v>
      </c>
      <c r="H80" s="4" t="s">
        <v>435</v>
      </c>
      <c r="I80" s="9" t="s">
        <v>149</v>
      </c>
      <c r="J80" s="4" t="s">
        <v>31</v>
      </c>
      <c r="K80" s="4" t="s">
        <v>31</v>
      </c>
      <c r="L80" s="4" t="s">
        <v>27</v>
      </c>
      <c r="M80" s="4" t="s">
        <v>27</v>
      </c>
      <c r="N80" s="4" t="s">
        <v>27</v>
      </c>
      <c r="O80" s="4" t="s">
        <v>27</v>
      </c>
      <c r="P80" s="6" t="str">
        <f t="shared" si="1"/>
        <v>待开发</v>
      </c>
      <c r="Q80" s="5" t="s">
        <v>150</v>
      </c>
      <c r="R80" s="5" t="s">
        <v>150</v>
      </c>
      <c r="S80" s="5" t="s">
        <v>150</v>
      </c>
      <c r="T80" s="5" t="s">
        <v>150</v>
      </c>
      <c r="U80" s="5" t="s">
        <v>150</v>
      </c>
      <c r="V80" s="5" t="s">
        <v>150</v>
      </c>
      <c r="W80" s="5" t="s">
        <v>150</v>
      </c>
    </row>
    <row r="81" ht="36" customHeight="1" spans="1:23">
      <c r="A81" s="4" t="s">
        <v>439</v>
      </c>
      <c r="B81" s="12" t="s">
        <v>123</v>
      </c>
      <c r="C81" s="4" t="s">
        <v>124</v>
      </c>
      <c r="D81" s="5" t="s">
        <v>102</v>
      </c>
      <c r="E81" s="5" t="s">
        <v>102</v>
      </c>
      <c r="F81" s="5" t="s">
        <v>440</v>
      </c>
      <c r="G81" s="5" t="s">
        <v>441</v>
      </c>
      <c r="H81" s="4" t="s">
        <v>435</v>
      </c>
      <c r="I81" s="9" t="s">
        <v>149</v>
      </c>
      <c r="J81" s="4" t="s">
        <v>31</v>
      </c>
      <c r="K81" s="4" t="s">
        <v>31</v>
      </c>
      <c r="L81" s="4" t="s">
        <v>27</v>
      </c>
      <c r="M81" s="4" t="s">
        <v>27</v>
      </c>
      <c r="N81" s="4" t="s">
        <v>27</v>
      </c>
      <c r="O81" s="4" t="s">
        <v>27</v>
      </c>
      <c r="P81" s="6" t="str">
        <f t="shared" si="1"/>
        <v>待开发</v>
      </c>
      <c r="Q81" s="5" t="s">
        <v>150</v>
      </c>
      <c r="R81" s="5" t="s">
        <v>150</v>
      </c>
      <c r="S81" s="5" t="s">
        <v>150</v>
      </c>
      <c r="T81" s="5" t="s">
        <v>150</v>
      </c>
      <c r="U81" s="5" t="s">
        <v>150</v>
      </c>
      <c r="V81" s="5" t="s">
        <v>150</v>
      </c>
      <c r="W81" s="5" t="s">
        <v>150</v>
      </c>
    </row>
    <row r="82" ht="36" customHeight="1" spans="1:23">
      <c r="A82" s="4" t="s">
        <v>442</v>
      </c>
      <c r="B82" s="12" t="s">
        <v>123</v>
      </c>
      <c r="C82" s="4" t="s">
        <v>124</v>
      </c>
      <c r="D82" s="5" t="s">
        <v>102</v>
      </c>
      <c r="E82" s="5" t="s">
        <v>102</v>
      </c>
      <c r="F82" s="5" t="s">
        <v>443</v>
      </c>
      <c r="G82" s="5" t="s">
        <v>444</v>
      </c>
      <c r="H82" s="4" t="s">
        <v>435</v>
      </c>
      <c r="I82" s="9" t="s">
        <v>149</v>
      </c>
      <c r="J82" s="4" t="s">
        <v>31</v>
      </c>
      <c r="K82" s="4" t="s">
        <v>31</v>
      </c>
      <c r="L82" s="4" t="s">
        <v>27</v>
      </c>
      <c r="M82" s="4" t="s">
        <v>27</v>
      </c>
      <c r="N82" s="4" t="s">
        <v>27</v>
      </c>
      <c r="O82" s="4" t="s">
        <v>27</v>
      </c>
      <c r="P82" s="6" t="str">
        <f t="shared" si="1"/>
        <v>待开发</v>
      </c>
      <c r="Q82" s="5" t="s">
        <v>150</v>
      </c>
      <c r="R82" s="5" t="s">
        <v>150</v>
      </c>
      <c r="S82" s="5" t="s">
        <v>150</v>
      </c>
      <c r="T82" s="5" t="s">
        <v>150</v>
      </c>
      <c r="U82" s="5" t="s">
        <v>150</v>
      </c>
      <c r="V82" s="5" t="s">
        <v>150</v>
      </c>
      <c r="W82" s="5" t="s">
        <v>150</v>
      </c>
    </row>
    <row r="83" ht="36" customHeight="1" spans="1:23">
      <c r="A83" s="4" t="s">
        <v>445</v>
      </c>
      <c r="B83" s="12" t="s">
        <v>123</v>
      </c>
      <c r="C83" s="4" t="s">
        <v>124</v>
      </c>
      <c r="D83" s="5" t="s">
        <v>102</v>
      </c>
      <c r="E83" s="5" t="s">
        <v>102</v>
      </c>
      <c r="F83" s="5" t="s">
        <v>446</v>
      </c>
      <c r="G83" s="5" t="s">
        <v>447</v>
      </c>
      <c r="H83" s="4" t="s">
        <v>448</v>
      </c>
      <c r="I83" s="9" t="s">
        <v>149</v>
      </c>
      <c r="J83" s="4" t="s">
        <v>31</v>
      </c>
      <c r="K83" s="4" t="s">
        <v>31</v>
      </c>
      <c r="L83" s="4" t="s">
        <v>27</v>
      </c>
      <c r="M83" s="4" t="s">
        <v>27</v>
      </c>
      <c r="N83" s="4" t="s">
        <v>27</v>
      </c>
      <c r="O83" s="4" t="s">
        <v>27</v>
      </c>
      <c r="P83" s="6" t="str">
        <f t="shared" si="1"/>
        <v>待开发</v>
      </c>
      <c r="Q83" s="5" t="s">
        <v>150</v>
      </c>
      <c r="R83" s="5" t="s">
        <v>150</v>
      </c>
      <c r="S83" s="5" t="s">
        <v>150</v>
      </c>
      <c r="T83" s="5" t="s">
        <v>150</v>
      </c>
      <c r="U83" s="5" t="s">
        <v>150</v>
      </c>
      <c r="V83" s="5" t="s">
        <v>150</v>
      </c>
      <c r="W83" s="5" t="s">
        <v>150</v>
      </c>
    </row>
    <row r="84" ht="36" hidden="1" customHeight="1" spans="1:23">
      <c r="A84" s="4" t="s">
        <v>449</v>
      </c>
      <c r="B84" s="12" t="s">
        <v>123</v>
      </c>
      <c r="C84" s="4" t="s">
        <v>124</v>
      </c>
      <c r="D84" s="5" t="s">
        <v>102</v>
      </c>
      <c r="E84" s="5" t="s">
        <v>102</v>
      </c>
      <c r="F84" s="5" t="s">
        <v>450</v>
      </c>
      <c r="G84" s="5" t="s">
        <v>451</v>
      </c>
      <c r="H84" s="4" t="s">
        <v>435</v>
      </c>
      <c r="I84" s="11" t="s">
        <v>215</v>
      </c>
      <c r="J84" s="4" t="s">
        <v>31</v>
      </c>
      <c r="K84" s="4" t="s">
        <v>31</v>
      </c>
      <c r="L84" s="4" t="s">
        <v>27</v>
      </c>
      <c r="M84" s="4" t="s">
        <v>27</v>
      </c>
      <c r="N84" s="4" t="s">
        <v>27</v>
      </c>
      <c r="O84" s="4" t="s">
        <v>27</v>
      </c>
      <c r="P84" s="6" t="str">
        <f t="shared" si="1"/>
        <v>待开发</v>
      </c>
      <c r="Q84" s="5" t="s">
        <v>150</v>
      </c>
      <c r="R84" s="5" t="s">
        <v>150</v>
      </c>
      <c r="S84" s="5" t="s">
        <v>150</v>
      </c>
      <c r="T84" s="5" t="s">
        <v>150</v>
      </c>
      <c r="U84" s="5" t="s">
        <v>150</v>
      </c>
      <c r="V84" s="5" t="s">
        <v>150</v>
      </c>
      <c r="W84" s="5" t="s">
        <v>150</v>
      </c>
    </row>
    <row r="85" ht="36" customHeight="1" spans="1:23">
      <c r="A85" s="4" t="s">
        <v>452</v>
      </c>
      <c r="B85" s="12" t="s">
        <v>123</v>
      </c>
      <c r="C85" s="4" t="s">
        <v>124</v>
      </c>
      <c r="D85" s="5" t="s">
        <v>102</v>
      </c>
      <c r="E85" s="5" t="s">
        <v>102</v>
      </c>
      <c r="F85" s="5" t="s">
        <v>453</v>
      </c>
      <c r="G85" s="5" t="s">
        <v>454</v>
      </c>
      <c r="H85" s="4" t="s">
        <v>435</v>
      </c>
      <c r="I85" s="9" t="s">
        <v>149</v>
      </c>
      <c r="J85" s="4" t="s">
        <v>31</v>
      </c>
      <c r="K85" s="4" t="s">
        <v>31</v>
      </c>
      <c r="L85" s="4" t="s">
        <v>27</v>
      </c>
      <c r="M85" s="4" t="s">
        <v>27</v>
      </c>
      <c r="N85" s="4" t="s">
        <v>27</v>
      </c>
      <c r="O85" s="4" t="s">
        <v>27</v>
      </c>
      <c r="P85" s="6" t="str">
        <f t="shared" si="1"/>
        <v>待开发</v>
      </c>
      <c r="Q85" s="5" t="s">
        <v>150</v>
      </c>
      <c r="R85" s="5" t="s">
        <v>150</v>
      </c>
      <c r="S85" s="5" t="s">
        <v>150</v>
      </c>
      <c r="T85" s="5" t="s">
        <v>150</v>
      </c>
      <c r="U85" s="5" t="s">
        <v>150</v>
      </c>
      <c r="V85" s="5" t="s">
        <v>150</v>
      </c>
      <c r="W85" s="5" t="s">
        <v>150</v>
      </c>
    </row>
    <row r="86" ht="36" customHeight="1" spans="1:23">
      <c r="A86" s="4" t="s">
        <v>455</v>
      </c>
      <c r="B86" s="12" t="s">
        <v>123</v>
      </c>
      <c r="C86" s="4" t="s">
        <v>124</v>
      </c>
      <c r="D86" s="5" t="s">
        <v>103</v>
      </c>
      <c r="E86" s="5" t="s">
        <v>103</v>
      </c>
      <c r="F86" s="5" t="s">
        <v>456</v>
      </c>
      <c r="G86" s="5" t="s">
        <v>457</v>
      </c>
      <c r="H86" s="4" t="s">
        <v>458</v>
      </c>
      <c r="I86" s="9" t="s">
        <v>149</v>
      </c>
      <c r="J86" s="4" t="s">
        <v>31</v>
      </c>
      <c r="K86" s="4" t="s">
        <v>31</v>
      </c>
      <c r="L86" s="4" t="s">
        <v>27</v>
      </c>
      <c r="M86" s="4" t="s">
        <v>27</v>
      </c>
      <c r="N86" s="4" t="s">
        <v>27</v>
      </c>
      <c r="O86" s="4" t="s">
        <v>27</v>
      </c>
      <c r="P86" s="6" t="str">
        <f t="shared" si="1"/>
        <v>待开发</v>
      </c>
      <c r="Q86" s="5" t="s">
        <v>150</v>
      </c>
      <c r="R86" s="5" t="s">
        <v>150</v>
      </c>
      <c r="S86" s="5" t="s">
        <v>150</v>
      </c>
      <c r="T86" s="5" t="s">
        <v>150</v>
      </c>
      <c r="U86" s="5" t="s">
        <v>150</v>
      </c>
      <c r="V86" s="5" t="s">
        <v>150</v>
      </c>
      <c r="W86" s="5" t="s">
        <v>150</v>
      </c>
    </row>
    <row r="87" ht="36" customHeight="1" spans="1:23">
      <c r="A87" s="4" t="s">
        <v>459</v>
      </c>
      <c r="B87" s="12" t="s">
        <v>123</v>
      </c>
      <c r="C87" s="4" t="s">
        <v>124</v>
      </c>
      <c r="D87" s="5" t="s">
        <v>103</v>
      </c>
      <c r="E87" s="5" t="s">
        <v>103</v>
      </c>
      <c r="F87" s="5" t="s">
        <v>460</v>
      </c>
      <c r="G87" s="5" t="s">
        <v>461</v>
      </c>
      <c r="H87" s="4" t="s">
        <v>458</v>
      </c>
      <c r="I87" s="9" t="s">
        <v>149</v>
      </c>
      <c r="J87" s="4" t="s">
        <v>31</v>
      </c>
      <c r="K87" s="4" t="s">
        <v>31</v>
      </c>
      <c r="L87" s="4" t="s">
        <v>27</v>
      </c>
      <c r="M87" s="4" t="s">
        <v>27</v>
      </c>
      <c r="N87" s="4" t="s">
        <v>27</v>
      </c>
      <c r="O87" s="4" t="s">
        <v>27</v>
      </c>
      <c r="P87" s="6" t="str">
        <f t="shared" si="1"/>
        <v>待开发</v>
      </c>
      <c r="Q87" s="5" t="s">
        <v>150</v>
      </c>
      <c r="R87" s="5" t="s">
        <v>150</v>
      </c>
      <c r="S87" s="5" t="s">
        <v>150</v>
      </c>
      <c r="T87" s="5" t="s">
        <v>150</v>
      </c>
      <c r="U87" s="5" t="s">
        <v>150</v>
      </c>
      <c r="V87" s="5" t="s">
        <v>150</v>
      </c>
      <c r="W87" s="5" t="s">
        <v>150</v>
      </c>
    </row>
    <row r="88" ht="36" customHeight="1" spans="1:23">
      <c r="A88" s="4" t="s">
        <v>462</v>
      </c>
      <c r="B88" s="12" t="s">
        <v>123</v>
      </c>
      <c r="C88" s="4" t="s">
        <v>124</v>
      </c>
      <c r="D88" s="5" t="s">
        <v>103</v>
      </c>
      <c r="E88" s="5" t="s">
        <v>103</v>
      </c>
      <c r="F88" s="5" t="s">
        <v>463</v>
      </c>
      <c r="G88" s="5" t="s">
        <v>464</v>
      </c>
      <c r="H88" s="4" t="s">
        <v>458</v>
      </c>
      <c r="I88" s="9" t="s">
        <v>149</v>
      </c>
      <c r="J88" s="4" t="s">
        <v>31</v>
      </c>
      <c r="K88" s="4" t="s">
        <v>31</v>
      </c>
      <c r="L88" s="4" t="s">
        <v>27</v>
      </c>
      <c r="M88" s="4" t="s">
        <v>27</v>
      </c>
      <c r="N88" s="4" t="s">
        <v>27</v>
      </c>
      <c r="O88" s="4" t="s">
        <v>27</v>
      </c>
      <c r="P88" s="6" t="str">
        <f t="shared" si="1"/>
        <v>待开发</v>
      </c>
      <c r="Q88" s="5" t="s">
        <v>150</v>
      </c>
      <c r="R88" s="5" t="s">
        <v>150</v>
      </c>
      <c r="S88" s="5" t="s">
        <v>150</v>
      </c>
      <c r="T88" s="5" t="s">
        <v>150</v>
      </c>
      <c r="U88" s="5" t="s">
        <v>150</v>
      </c>
      <c r="V88" s="5" t="s">
        <v>150</v>
      </c>
      <c r="W88" s="5" t="s">
        <v>150</v>
      </c>
    </row>
    <row r="89" ht="36" customHeight="1" spans="1:23">
      <c r="A89" s="4" t="s">
        <v>465</v>
      </c>
      <c r="B89" s="12" t="s">
        <v>123</v>
      </c>
      <c r="C89" s="4" t="s">
        <v>124</v>
      </c>
      <c r="D89" s="5" t="s">
        <v>103</v>
      </c>
      <c r="E89" s="5" t="s">
        <v>103</v>
      </c>
      <c r="F89" s="5" t="s">
        <v>466</v>
      </c>
      <c r="G89" s="5" t="s">
        <v>467</v>
      </c>
      <c r="H89" s="4" t="s">
        <v>458</v>
      </c>
      <c r="I89" s="9" t="s">
        <v>149</v>
      </c>
      <c r="J89" s="4" t="s">
        <v>31</v>
      </c>
      <c r="K89" s="4" t="s">
        <v>31</v>
      </c>
      <c r="L89" s="4" t="s">
        <v>27</v>
      </c>
      <c r="M89" s="4" t="s">
        <v>27</v>
      </c>
      <c r="N89" s="4" t="s">
        <v>27</v>
      </c>
      <c r="O89" s="4" t="s">
        <v>27</v>
      </c>
      <c r="P89" s="6" t="str">
        <f t="shared" si="1"/>
        <v>待开发</v>
      </c>
      <c r="Q89" s="5" t="s">
        <v>150</v>
      </c>
      <c r="R89" s="5" t="s">
        <v>150</v>
      </c>
      <c r="S89" s="5" t="s">
        <v>150</v>
      </c>
      <c r="T89" s="5" t="s">
        <v>150</v>
      </c>
      <c r="U89" s="5" t="s">
        <v>150</v>
      </c>
      <c r="V89" s="5" t="s">
        <v>150</v>
      </c>
      <c r="W89" s="5" t="s">
        <v>150</v>
      </c>
    </row>
    <row r="90" ht="36" customHeight="1" spans="1:23">
      <c r="A90" s="4" t="s">
        <v>468</v>
      </c>
      <c r="B90" s="12" t="s">
        <v>123</v>
      </c>
      <c r="C90" s="4" t="s">
        <v>124</v>
      </c>
      <c r="D90" s="5" t="s">
        <v>103</v>
      </c>
      <c r="E90" s="5" t="s">
        <v>103</v>
      </c>
      <c r="F90" s="5" t="s">
        <v>469</v>
      </c>
      <c r="G90" s="5" t="s">
        <v>470</v>
      </c>
      <c r="H90" s="4" t="s">
        <v>296</v>
      </c>
      <c r="I90" s="9" t="s">
        <v>149</v>
      </c>
      <c r="J90" s="4" t="s">
        <v>31</v>
      </c>
      <c r="K90" s="4" t="s">
        <v>31</v>
      </c>
      <c r="L90" s="4" t="s">
        <v>27</v>
      </c>
      <c r="M90" s="4" t="s">
        <v>27</v>
      </c>
      <c r="N90" s="4" t="s">
        <v>27</v>
      </c>
      <c r="O90" s="4" t="s">
        <v>27</v>
      </c>
      <c r="P90" s="6" t="str">
        <f t="shared" si="1"/>
        <v>待开发</v>
      </c>
      <c r="Q90" s="5" t="s">
        <v>150</v>
      </c>
      <c r="R90" s="5" t="s">
        <v>150</v>
      </c>
      <c r="S90" s="5" t="s">
        <v>150</v>
      </c>
      <c r="T90" s="5" t="s">
        <v>150</v>
      </c>
      <c r="U90" s="5" t="s">
        <v>150</v>
      </c>
      <c r="V90" s="5" t="s">
        <v>150</v>
      </c>
      <c r="W90" s="5" t="s">
        <v>150</v>
      </c>
    </row>
    <row r="91" ht="36" customHeight="1" spans="1:23">
      <c r="A91" s="4" t="s">
        <v>471</v>
      </c>
      <c r="B91" s="12" t="s">
        <v>123</v>
      </c>
      <c r="C91" s="4" t="s">
        <v>124</v>
      </c>
      <c r="D91" s="5" t="s">
        <v>103</v>
      </c>
      <c r="E91" s="5" t="s">
        <v>103</v>
      </c>
      <c r="F91" s="5" t="s">
        <v>472</v>
      </c>
      <c r="G91" s="5" t="s">
        <v>473</v>
      </c>
      <c r="H91" s="4" t="s">
        <v>296</v>
      </c>
      <c r="I91" s="9" t="s">
        <v>149</v>
      </c>
      <c r="J91" s="4" t="s">
        <v>31</v>
      </c>
      <c r="K91" s="4" t="s">
        <v>31</v>
      </c>
      <c r="L91" s="4" t="s">
        <v>27</v>
      </c>
      <c r="M91" s="4" t="s">
        <v>27</v>
      </c>
      <c r="N91" s="4" t="s">
        <v>27</v>
      </c>
      <c r="O91" s="4" t="s">
        <v>27</v>
      </c>
      <c r="P91" s="6" t="str">
        <f t="shared" si="1"/>
        <v>待开发</v>
      </c>
      <c r="Q91" s="5" t="s">
        <v>150</v>
      </c>
      <c r="R91" s="5" t="s">
        <v>150</v>
      </c>
      <c r="S91" s="5" t="s">
        <v>150</v>
      </c>
      <c r="T91" s="5" t="s">
        <v>150</v>
      </c>
      <c r="U91" s="5" t="s">
        <v>150</v>
      </c>
      <c r="V91" s="5" t="s">
        <v>150</v>
      </c>
      <c r="W91" s="5" t="s">
        <v>150</v>
      </c>
    </row>
    <row r="92" ht="36" customHeight="1" spans="1:23">
      <c r="A92" s="4" t="s">
        <v>474</v>
      </c>
      <c r="B92" s="12" t="s">
        <v>123</v>
      </c>
      <c r="C92" s="4" t="s">
        <v>124</v>
      </c>
      <c r="D92" s="5" t="s">
        <v>103</v>
      </c>
      <c r="E92" s="5" t="s">
        <v>103</v>
      </c>
      <c r="F92" s="5" t="s">
        <v>475</v>
      </c>
      <c r="G92" s="5" t="s">
        <v>476</v>
      </c>
      <c r="H92" s="4" t="s">
        <v>477</v>
      </c>
      <c r="I92" s="9" t="s">
        <v>149</v>
      </c>
      <c r="J92" s="4" t="s">
        <v>31</v>
      </c>
      <c r="K92" s="4" t="s">
        <v>31</v>
      </c>
      <c r="L92" s="4" t="s">
        <v>27</v>
      </c>
      <c r="M92" s="4" t="s">
        <v>27</v>
      </c>
      <c r="N92" s="4" t="s">
        <v>27</v>
      </c>
      <c r="O92" s="4" t="s">
        <v>27</v>
      </c>
      <c r="P92" s="6" t="str">
        <f t="shared" si="1"/>
        <v>待开发</v>
      </c>
      <c r="Q92" s="5" t="s">
        <v>150</v>
      </c>
      <c r="R92" s="5" t="s">
        <v>150</v>
      </c>
      <c r="S92" s="5" t="s">
        <v>150</v>
      </c>
      <c r="T92" s="5" t="s">
        <v>150</v>
      </c>
      <c r="U92" s="5" t="s">
        <v>150</v>
      </c>
      <c r="V92" s="5" t="s">
        <v>150</v>
      </c>
      <c r="W92" s="5" t="s">
        <v>150</v>
      </c>
    </row>
    <row r="93" ht="36" customHeight="1" spans="1:23">
      <c r="A93" s="4" t="s">
        <v>478</v>
      </c>
      <c r="B93" s="12" t="s">
        <v>123</v>
      </c>
      <c r="C93" s="4" t="s">
        <v>124</v>
      </c>
      <c r="D93" s="5" t="s">
        <v>104</v>
      </c>
      <c r="E93" s="5" t="s">
        <v>104</v>
      </c>
      <c r="F93" s="5" t="s">
        <v>479</v>
      </c>
      <c r="G93" s="5" t="s">
        <v>480</v>
      </c>
      <c r="H93" s="4" t="s">
        <v>481</v>
      </c>
      <c r="I93" s="9" t="s">
        <v>149</v>
      </c>
      <c r="J93" s="4" t="s">
        <v>31</v>
      </c>
      <c r="K93" s="4" t="s">
        <v>31</v>
      </c>
      <c r="L93" s="4" t="s">
        <v>27</v>
      </c>
      <c r="M93" s="4" t="s">
        <v>27</v>
      </c>
      <c r="N93" s="4" t="s">
        <v>27</v>
      </c>
      <c r="O93" s="4" t="s">
        <v>27</v>
      </c>
      <c r="P93" s="6" t="str">
        <f t="shared" si="1"/>
        <v>待开发</v>
      </c>
      <c r="Q93" s="5" t="s">
        <v>150</v>
      </c>
      <c r="R93" s="5" t="s">
        <v>150</v>
      </c>
      <c r="S93" s="5" t="s">
        <v>150</v>
      </c>
      <c r="T93" s="5" t="s">
        <v>150</v>
      </c>
      <c r="U93" s="5" t="s">
        <v>150</v>
      </c>
      <c r="V93" s="5" t="s">
        <v>150</v>
      </c>
      <c r="W93" s="5" t="s">
        <v>150</v>
      </c>
    </row>
    <row r="94" ht="36" customHeight="1" spans="1:23">
      <c r="A94" s="4" t="s">
        <v>482</v>
      </c>
      <c r="B94" s="12" t="s">
        <v>123</v>
      </c>
      <c r="C94" s="4" t="s">
        <v>124</v>
      </c>
      <c r="D94" s="5" t="s">
        <v>104</v>
      </c>
      <c r="E94" s="5" t="s">
        <v>104</v>
      </c>
      <c r="F94" s="5" t="s">
        <v>483</v>
      </c>
      <c r="G94" s="5" t="s">
        <v>484</v>
      </c>
      <c r="H94" s="4" t="s">
        <v>485</v>
      </c>
      <c r="I94" s="9" t="s">
        <v>149</v>
      </c>
      <c r="J94" s="4" t="s">
        <v>31</v>
      </c>
      <c r="K94" s="4" t="s">
        <v>31</v>
      </c>
      <c r="L94" s="4" t="s">
        <v>27</v>
      </c>
      <c r="M94" s="4" t="s">
        <v>27</v>
      </c>
      <c r="N94" s="4" t="s">
        <v>27</v>
      </c>
      <c r="O94" s="4" t="s">
        <v>27</v>
      </c>
      <c r="P94" s="6" t="str">
        <f t="shared" si="1"/>
        <v>待开发</v>
      </c>
      <c r="Q94" s="5" t="s">
        <v>150</v>
      </c>
      <c r="R94" s="5" t="s">
        <v>150</v>
      </c>
      <c r="S94" s="5" t="s">
        <v>150</v>
      </c>
      <c r="T94" s="5" t="s">
        <v>150</v>
      </c>
      <c r="U94" s="5" t="s">
        <v>150</v>
      </c>
      <c r="V94" s="5" t="s">
        <v>150</v>
      </c>
      <c r="W94" s="5" t="s">
        <v>150</v>
      </c>
    </row>
    <row r="95" ht="36" customHeight="1" spans="1:23">
      <c r="A95" s="4" t="s">
        <v>486</v>
      </c>
      <c r="B95" s="12" t="s">
        <v>123</v>
      </c>
      <c r="C95" s="4" t="s">
        <v>124</v>
      </c>
      <c r="D95" s="5" t="s">
        <v>104</v>
      </c>
      <c r="E95" s="5" t="s">
        <v>104</v>
      </c>
      <c r="F95" s="5" t="s">
        <v>487</v>
      </c>
      <c r="G95" s="5" t="s">
        <v>488</v>
      </c>
      <c r="H95" s="4" t="s">
        <v>489</v>
      </c>
      <c r="I95" s="9" t="s">
        <v>149</v>
      </c>
      <c r="J95" s="4" t="s">
        <v>31</v>
      </c>
      <c r="K95" s="4" t="s">
        <v>31</v>
      </c>
      <c r="L95" s="4" t="s">
        <v>27</v>
      </c>
      <c r="M95" s="4" t="s">
        <v>27</v>
      </c>
      <c r="N95" s="4" t="s">
        <v>27</v>
      </c>
      <c r="O95" s="4" t="s">
        <v>27</v>
      </c>
      <c r="P95" s="6" t="str">
        <f t="shared" si="1"/>
        <v>待开发</v>
      </c>
      <c r="Q95" s="5" t="s">
        <v>150</v>
      </c>
      <c r="R95" s="5" t="s">
        <v>150</v>
      </c>
      <c r="S95" s="5" t="s">
        <v>150</v>
      </c>
      <c r="T95" s="5" t="s">
        <v>150</v>
      </c>
      <c r="U95" s="5" t="s">
        <v>150</v>
      </c>
      <c r="V95" s="5" t="s">
        <v>150</v>
      </c>
      <c r="W95" s="5" t="s">
        <v>150</v>
      </c>
    </row>
    <row r="96" ht="36" customHeight="1" spans="1:23">
      <c r="A96" s="4" t="s">
        <v>490</v>
      </c>
      <c r="B96" s="12" t="s">
        <v>123</v>
      </c>
      <c r="C96" s="4" t="s">
        <v>124</v>
      </c>
      <c r="D96" s="5" t="s">
        <v>105</v>
      </c>
      <c r="E96" s="5" t="s">
        <v>105</v>
      </c>
      <c r="F96" s="5" t="s">
        <v>491</v>
      </c>
      <c r="G96" s="5" t="s">
        <v>492</v>
      </c>
      <c r="H96" s="4" t="s">
        <v>288</v>
      </c>
      <c r="I96" s="9" t="s">
        <v>149</v>
      </c>
      <c r="J96" s="4" t="s">
        <v>31</v>
      </c>
      <c r="K96" s="4" t="s">
        <v>31</v>
      </c>
      <c r="L96" s="4" t="s">
        <v>27</v>
      </c>
      <c r="M96" s="4" t="s">
        <v>27</v>
      </c>
      <c r="N96" s="4" t="s">
        <v>27</v>
      </c>
      <c r="O96" s="4" t="s">
        <v>27</v>
      </c>
      <c r="P96" s="6" t="str">
        <f t="shared" si="1"/>
        <v>待开发</v>
      </c>
      <c r="Q96" s="5" t="s">
        <v>150</v>
      </c>
      <c r="R96" s="5" t="s">
        <v>150</v>
      </c>
      <c r="S96" s="5" t="s">
        <v>150</v>
      </c>
      <c r="T96" s="5" t="s">
        <v>150</v>
      </c>
      <c r="U96" s="5" t="s">
        <v>150</v>
      </c>
      <c r="V96" s="5" t="s">
        <v>150</v>
      </c>
      <c r="W96" s="5" t="s">
        <v>150</v>
      </c>
    </row>
    <row r="97" ht="36" customHeight="1" spans="1:23">
      <c r="A97" s="4" t="s">
        <v>493</v>
      </c>
      <c r="B97" s="12" t="s">
        <v>123</v>
      </c>
      <c r="C97" s="4" t="s">
        <v>124</v>
      </c>
      <c r="D97" s="5" t="s">
        <v>105</v>
      </c>
      <c r="E97" s="5" t="s">
        <v>105</v>
      </c>
      <c r="F97" s="5" t="s">
        <v>494</v>
      </c>
      <c r="G97" s="5" t="s">
        <v>495</v>
      </c>
      <c r="H97" s="4" t="s">
        <v>288</v>
      </c>
      <c r="I97" s="9" t="s">
        <v>149</v>
      </c>
      <c r="J97" s="4" t="s">
        <v>31</v>
      </c>
      <c r="K97" s="4" t="s">
        <v>31</v>
      </c>
      <c r="L97" s="4" t="s">
        <v>27</v>
      </c>
      <c r="M97" s="4" t="s">
        <v>27</v>
      </c>
      <c r="N97" s="4" t="s">
        <v>27</v>
      </c>
      <c r="O97" s="4" t="s">
        <v>27</v>
      </c>
      <c r="P97" s="6" t="str">
        <f t="shared" si="1"/>
        <v>待开发</v>
      </c>
      <c r="Q97" s="5" t="s">
        <v>150</v>
      </c>
      <c r="R97" s="5" t="s">
        <v>150</v>
      </c>
      <c r="S97" s="5" t="s">
        <v>150</v>
      </c>
      <c r="T97" s="5" t="s">
        <v>150</v>
      </c>
      <c r="U97" s="5" t="s">
        <v>150</v>
      </c>
      <c r="V97" s="5" t="s">
        <v>150</v>
      </c>
      <c r="W97" s="5" t="s">
        <v>150</v>
      </c>
    </row>
    <row r="98" ht="36" customHeight="1" spans="1:23">
      <c r="A98" s="4" t="s">
        <v>496</v>
      </c>
      <c r="B98" s="12" t="s">
        <v>123</v>
      </c>
      <c r="C98" s="4" t="s">
        <v>124</v>
      </c>
      <c r="D98" s="5" t="s">
        <v>105</v>
      </c>
      <c r="E98" s="5" t="s">
        <v>105</v>
      </c>
      <c r="F98" s="5" t="s">
        <v>497</v>
      </c>
      <c r="G98" s="5" t="s">
        <v>498</v>
      </c>
      <c r="H98" s="4" t="s">
        <v>288</v>
      </c>
      <c r="I98" s="9" t="s">
        <v>149</v>
      </c>
      <c r="J98" s="4" t="s">
        <v>31</v>
      </c>
      <c r="K98" s="4" t="s">
        <v>31</v>
      </c>
      <c r="L98" s="4" t="s">
        <v>27</v>
      </c>
      <c r="M98" s="4" t="s">
        <v>27</v>
      </c>
      <c r="N98" s="4" t="s">
        <v>27</v>
      </c>
      <c r="O98" s="4" t="s">
        <v>27</v>
      </c>
      <c r="P98" s="6" t="str">
        <f t="shared" si="1"/>
        <v>待开发</v>
      </c>
      <c r="Q98" s="5" t="s">
        <v>150</v>
      </c>
      <c r="R98" s="5" t="s">
        <v>150</v>
      </c>
      <c r="S98" s="5" t="s">
        <v>150</v>
      </c>
      <c r="T98" s="5" t="s">
        <v>150</v>
      </c>
      <c r="U98" s="5" t="s">
        <v>150</v>
      </c>
      <c r="V98" s="5" t="s">
        <v>150</v>
      </c>
      <c r="W98" s="5" t="s">
        <v>150</v>
      </c>
    </row>
    <row r="99" ht="36" hidden="1" customHeight="1" spans="1:23">
      <c r="A99" s="4" t="s">
        <v>499</v>
      </c>
      <c r="B99" s="10" t="s">
        <v>121</v>
      </c>
      <c r="C99" s="4" t="s">
        <v>122</v>
      </c>
      <c r="D99" s="5" t="s">
        <v>105</v>
      </c>
      <c r="E99" s="5" t="s">
        <v>105</v>
      </c>
      <c r="F99" s="5" t="s">
        <v>500</v>
      </c>
      <c r="G99" s="5" t="s">
        <v>501</v>
      </c>
      <c r="H99" s="4" t="s">
        <v>288</v>
      </c>
      <c r="I99" s="11" t="s">
        <v>215</v>
      </c>
      <c r="J99" s="4" t="s">
        <v>31</v>
      </c>
      <c r="K99" s="4" t="s">
        <v>31</v>
      </c>
      <c r="L99" s="4" t="s">
        <v>27</v>
      </c>
      <c r="M99" s="4" t="s">
        <v>27</v>
      </c>
      <c r="N99" s="4" t="s">
        <v>27</v>
      </c>
      <c r="O99" s="4" t="s">
        <v>27</v>
      </c>
      <c r="P99" s="6" t="str">
        <f t="shared" si="1"/>
        <v>待开发</v>
      </c>
      <c r="Q99" s="5" t="s">
        <v>150</v>
      </c>
      <c r="R99" s="5" t="s">
        <v>150</v>
      </c>
      <c r="S99" s="5" t="s">
        <v>150</v>
      </c>
      <c r="T99" s="5" t="s">
        <v>150</v>
      </c>
      <c r="U99" s="5" t="s">
        <v>150</v>
      </c>
      <c r="V99" s="5" t="s">
        <v>150</v>
      </c>
      <c r="W99" s="5" t="s">
        <v>150</v>
      </c>
    </row>
    <row r="100" ht="36" customHeight="1" spans="1:23">
      <c r="A100" s="4" t="s">
        <v>502</v>
      </c>
      <c r="B100" s="12" t="s">
        <v>123</v>
      </c>
      <c r="C100" s="4" t="s">
        <v>124</v>
      </c>
      <c r="D100" s="5" t="s">
        <v>106</v>
      </c>
      <c r="E100" s="5" t="s">
        <v>106</v>
      </c>
      <c r="F100" s="5" t="s">
        <v>503</v>
      </c>
      <c r="G100" s="5" t="s">
        <v>504</v>
      </c>
      <c r="H100" s="4" t="s">
        <v>505</v>
      </c>
      <c r="I100" s="9" t="s">
        <v>149</v>
      </c>
      <c r="J100" s="4" t="s">
        <v>31</v>
      </c>
      <c r="K100" s="4" t="s">
        <v>31</v>
      </c>
      <c r="L100" s="4" t="s">
        <v>27</v>
      </c>
      <c r="M100" s="4" t="s">
        <v>27</v>
      </c>
      <c r="N100" s="4" t="s">
        <v>27</v>
      </c>
      <c r="O100" s="4" t="s">
        <v>27</v>
      </c>
      <c r="P100" s="6" t="str">
        <f t="shared" si="1"/>
        <v>待开发</v>
      </c>
      <c r="Q100" s="5" t="s">
        <v>150</v>
      </c>
      <c r="R100" s="5" t="s">
        <v>150</v>
      </c>
      <c r="S100" s="5" t="s">
        <v>150</v>
      </c>
      <c r="T100" s="5" t="s">
        <v>150</v>
      </c>
      <c r="U100" s="5" t="s">
        <v>150</v>
      </c>
      <c r="V100" s="5" t="s">
        <v>150</v>
      </c>
      <c r="W100" s="5" t="s">
        <v>150</v>
      </c>
    </row>
    <row r="101" ht="36" customHeight="1" spans="1:23">
      <c r="A101" s="4" t="s">
        <v>506</v>
      </c>
      <c r="B101" s="12" t="s">
        <v>123</v>
      </c>
      <c r="C101" s="4" t="s">
        <v>124</v>
      </c>
      <c r="D101" s="5" t="s">
        <v>106</v>
      </c>
      <c r="E101" s="5" t="s">
        <v>106</v>
      </c>
      <c r="F101" s="5" t="s">
        <v>507</v>
      </c>
      <c r="G101" s="5" t="s">
        <v>508</v>
      </c>
      <c r="H101" s="4" t="s">
        <v>308</v>
      </c>
      <c r="I101" s="9" t="s">
        <v>149</v>
      </c>
      <c r="J101" s="4" t="s">
        <v>31</v>
      </c>
      <c r="K101" s="4" t="s">
        <v>31</v>
      </c>
      <c r="L101" s="4" t="s">
        <v>27</v>
      </c>
      <c r="M101" s="4" t="s">
        <v>27</v>
      </c>
      <c r="N101" s="4" t="s">
        <v>27</v>
      </c>
      <c r="O101" s="4" t="s">
        <v>27</v>
      </c>
      <c r="P101" s="6" t="str">
        <f t="shared" si="1"/>
        <v>待开发</v>
      </c>
      <c r="Q101" s="5" t="s">
        <v>150</v>
      </c>
      <c r="R101" s="5" t="s">
        <v>150</v>
      </c>
      <c r="S101" s="5" t="s">
        <v>150</v>
      </c>
      <c r="T101" s="5" t="s">
        <v>150</v>
      </c>
      <c r="U101" s="5" t="s">
        <v>150</v>
      </c>
      <c r="V101" s="5" t="s">
        <v>150</v>
      </c>
      <c r="W101" s="5" t="s">
        <v>150</v>
      </c>
    </row>
    <row r="102" ht="36" customHeight="1" spans="1:23">
      <c r="A102" s="4" t="s">
        <v>509</v>
      </c>
      <c r="B102" s="12" t="s">
        <v>123</v>
      </c>
      <c r="C102" s="4" t="s">
        <v>124</v>
      </c>
      <c r="D102" s="5" t="s">
        <v>106</v>
      </c>
      <c r="E102" s="5" t="s">
        <v>106</v>
      </c>
      <c r="F102" s="5" t="s">
        <v>510</v>
      </c>
      <c r="G102" s="5" t="s">
        <v>511</v>
      </c>
      <c r="H102" s="4" t="s">
        <v>406</v>
      </c>
      <c r="I102" s="9" t="s">
        <v>149</v>
      </c>
      <c r="J102" s="4" t="s">
        <v>31</v>
      </c>
      <c r="K102" s="4" t="s">
        <v>31</v>
      </c>
      <c r="L102" s="4" t="s">
        <v>27</v>
      </c>
      <c r="M102" s="4" t="s">
        <v>27</v>
      </c>
      <c r="N102" s="4" t="s">
        <v>27</v>
      </c>
      <c r="O102" s="4" t="s">
        <v>27</v>
      </c>
      <c r="P102" s="6" t="str">
        <f t="shared" si="1"/>
        <v>待开发</v>
      </c>
      <c r="Q102" s="5" t="s">
        <v>150</v>
      </c>
      <c r="R102" s="5" t="s">
        <v>150</v>
      </c>
      <c r="S102" s="5" t="s">
        <v>150</v>
      </c>
      <c r="T102" s="5" t="s">
        <v>150</v>
      </c>
      <c r="U102" s="5" t="s">
        <v>150</v>
      </c>
      <c r="V102" s="5" t="s">
        <v>150</v>
      </c>
      <c r="W102" s="5" t="s">
        <v>150</v>
      </c>
    </row>
    <row r="103" ht="36" customHeight="1" spans="1:23">
      <c r="A103" s="4" t="s">
        <v>512</v>
      </c>
      <c r="B103" s="12" t="s">
        <v>123</v>
      </c>
      <c r="C103" s="4" t="s">
        <v>124</v>
      </c>
      <c r="D103" s="5" t="s">
        <v>106</v>
      </c>
      <c r="E103" s="5" t="s">
        <v>106</v>
      </c>
      <c r="F103" s="5" t="s">
        <v>513</v>
      </c>
      <c r="G103" s="5" t="s">
        <v>514</v>
      </c>
      <c r="H103" s="4" t="s">
        <v>188</v>
      </c>
      <c r="I103" s="9" t="s">
        <v>149</v>
      </c>
      <c r="J103" s="4" t="s">
        <v>31</v>
      </c>
      <c r="K103" s="4" t="s">
        <v>31</v>
      </c>
      <c r="L103" s="4" t="s">
        <v>27</v>
      </c>
      <c r="M103" s="4" t="s">
        <v>27</v>
      </c>
      <c r="N103" s="4" t="s">
        <v>27</v>
      </c>
      <c r="O103" s="4" t="s">
        <v>27</v>
      </c>
      <c r="P103" s="6" t="str">
        <f t="shared" si="1"/>
        <v>待开发</v>
      </c>
      <c r="Q103" s="5" t="s">
        <v>150</v>
      </c>
      <c r="R103" s="5" t="s">
        <v>150</v>
      </c>
      <c r="S103" s="5" t="s">
        <v>150</v>
      </c>
      <c r="T103" s="5" t="s">
        <v>150</v>
      </c>
      <c r="U103" s="5" t="s">
        <v>150</v>
      </c>
      <c r="V103" s="5" t="s">
        <v>150</v>
      </c>
      <c r="W103" s="5" t="s">
        <v>150</v>
      </c>
    </row>
    <row r="104" ht="36" customHeight="1" spans="1:23">
      <c r="A104" s="4" t="s">
        <v>515</v>
      </c>
      <c r="B104" s="12" t="s">
        <v>123</v>
      </c>
      <c r="C104" s="4" t="s">
        <v>124</v>
      </c>
      <c r="D104" s="5" t="s">
        <v>106</v>
      </c>
      <c r="E104" s="5" t="s">
        <v>106</v>
      </c>
      <c r="F104" s="5" t="s">
        <v>516</v>
      </c>
      <c r="G104" s="5" t="s">
        <v>517</v>
      </c>
      <c r="H104" s="4" t="s">
        <v>308</v>
      </c>
      <c r="I104" s="9" t="s">
        <v>149</v>
      </c>
      <c r="J104" s="4" t="s">
        <v>31</v>
      </c>
      <c r="K104" s="4" t="s">
        <v>31</v>
      </c>
      <c r="L104" s="4" t="s">
        <v>27</v>
      </c>
      <c r="M104" s="4" t="s">
        <v>27</v>
      </c>
      <c r="N104" s="4" t="s">
        <v>27</v>
      </c>
      <c r="O104" s="4" t="s">
        <v>27</v>
      </c>
      <c r="P104" s="6" t="str">
        <f t="shared" si="1"/>
        <v>待开发</v>
      </c>
      <c r="Q104" s="5" t="s">
        <v>150</v>
      </c>
      <c r="R104" s="5" t="s">
        <v>150</v>
      </c>
      <c r="S104" s="5" t="s">
        <v>150</v>
      </c>
      <c r="T104" s="5" t="s">
        <v>150</v>
      </c>
      <c r="U104" s="5" t="s">
        <v>150</v>
      </c>
      <c r="V104" s="5" t="s">
        <v>150</v>
      </c>
      <c r="W104" s="5" t="s">
        <v>150</v>
      </c>
    </row>
    <row r="105" ht="36" customHeight="1" spans="1:23">
      <c r="A105" s="4" t="s">
        <v>518</v>
      </c>
      <c r="B105" s="12" t="s">
        <v>123</v>
      </c>
      <c r="C105" s="4" t="s">
        <v>124</v>
      </c>
      <c r="D105" s="5" t="s">
        <v>106</v>
      </c>
      <c r="E105" s="5" t="s">
        <v>106</v>
      </c>
      <c r="F105" s="5" t="s">
        <v>519</v>
      </c>
      <c r="G105" s="5" t="s">
        <v>520</v>
      </c>
      <c r="H105" s="4" t="s">
        <v>308</v>
      </c>
      <c r="I105" s="9" t="s">
        <v>149</v>
      </c>
      <c r="J105" s="4" t="s">
        <v>31</v>
      </c>
      <c r="K105" s="4" t="s">
        <v>31</v>
      </c>
      <c r="L105" s="4" t="s">
        <v>27</v>
      </c>
      <c r="M105" s="4" t="s">
        <v>27</v>
      </c>
      <c r="N105" s="4" t="s">
        <v>27</v>
      </c>
      <c r="O105" s="4" t="s">
        <v>27</v>
      </c>
      <c r="P105" s="6" t="str">
        <f t="shared" si="1"/>
        <v>待开发</v>
      </c>
      <c r="Q105" s="5" t="s">
        <v>150</v>
      </c>
      <c r="R105" s="5" t="s">
        <v>150</v>
      </c>
      <c r="S105" s="5" t="s">
        <v>150</v>
      </c>
      <c r="T105" s="5" t="s">
        <v>150</v>
      </c>
      <c r="U105" s="5" t="s">
        <v>150</v>
      </c>
      <c r="V105" s="5" t="s">
        <v>150</v>
      </c>
      <c r="W105" s="5" t="s">
        <v>150</v>
      </c>
    </row>
    <row r="106" ht="36" customHeight="1" spans="1:23">
      <c r="A106" s="4" t="s">
        <v>521</v>
      </c>
      <c r="B106" s="12" t="s">
        <v>123</v>
      </c>
      <c r="C106" s="4" t="s">
        <v>124</v>
      </c>
      <c r="D106" s="5" t="s">
        <v>106</v>
      </c>
      <c r="E106" s="5" t="s">
        <v>106</v>
      </c>
      <c r="F106" s="5" t="s">
        <v>522</v>
      </c>
      <c r="G106" s="5" t="s">
        <v>523</v>
      </c>
      <c r="H106" s="4" t="s">
        <v>308</v>
      </c>
      <c r="I106" s="9" t="s">
        <v>149</v>
      </c>
      <c r="J106" s="4" t="s">
        <v>31</v>
      </c>
      <c r="K106" s="4" t="s">
        <v>31</v>
      </c>
      <c r="L106" s="4" t="s">
        <v>27</v>
      </c>
      <c r="M106" s="4" t="s">
        <v>27</v>
      </c>
      <c r="N106" s="4" t="s">
        <v>27</v>
      </c>
      <c r="O106" s="4" t="s">
        <v>27</v>
      </c>
      <c r="P106" s="6" t="str">
        <f t="shared" si="1"/>
        <v>待开发</v>
      </c>
      <c r="Q106" s="5" t="s">
        <v>150</v>
      </c>
      <c r="R106" s="5" t="s">
        <v>150</v>
      </c>
      <c r="S106" s="5" t="s">
        <v>150</v>
      </c>
      <c r="T106" s="5" t="s">
        <v>150</v>
      </c>
      <c r="U106" s="5" t="s">
        <v>150</v>
      </c>
      <c r="V106" s="5" t="s">
        <v>150</v>
      </c>
      <c r="W106" s="5" t="s">
        <v>150</v>
      </c>
    </row>
    <row r="107" ht="36" customHeight="1" spans="1:23">
      <c r="A107" s="4" t="s">
        <v>524</v>
      </c>
      <c r="B107" s="11" t="s">
        <v>125</v>
      </c>
      <c r="C107" s="4" t="s">
        <v>126</v>
      </c>
      <c r="D107" s="5" t="s">
        <v>107</v>
      </c>
      <c r="E107" s="5" t="s">
        <v>525</v>
      </c>
      <c r="F107" s="5" t="s">
        <v>526</v>
      </c>
      <c r="G107" s="5" t="s">
        <v>527</v>
      </c>
      <c r="H107" s="4" t="s">
        <v>528</v>
      </c>
      <c r="I107" s="9" t="s">
        <v>149</v>
      </c>
      <c r="J107" s="4" t="s">
        <v>31</v>
      </c>
      <c r="K107" s="4" t="s">
        <v>31</v>
      </c>
      <c r="L107" s="4" t="s">
        <v>27</v>
      </c>
      <c r="M107" s="4" t="s">
        <v>27</v>
      </c>
      <c r="N107" s="4" t="s">
        <v>27</v>
      </c>
      <c r="O107" s="4" t="s">
        <v>27</v>
      </c>
      <c r="P107" s="6" t="str">
        <f t="shared" si="1"/>
        <v>待开发</v>
      </c>
      <c r="Q107" s="5" t="s">
        <v>150</v>
      </c>
      <c r="R107" s="5" t="s">
        <v>150</v>
      </c>
      <c r="S107" s="5" t="s">
        <v>150</v>
      </c>
      <c r="T107" s="5" t="s">
        <v>150</v>
      </c>
      <c r="U107" s="5" t="s">
        <v>150</v>
      </c>
      <c r="V107" s="5" t="s">
        <v>150</v>
      </c>
      <c r="W107" s="5" t="s">
        <v>150</v>
      </c>
    </row>
    <row r="108" ht="36" customHeight="1" spans="1:23">
      <c r="A108" s="4" t="s">
        <v>529</v>
      </c>
      <c r="B108" s="11" t="s">
        <v>125</v>
      </c>
      <c r="C108" s="4" t="s">
        <v>126</v>
      </c>
      <c r="D108" s="5" t="s">
        <v>107</v>
      </c>
      <c r="E108" s="5" t="s">
        <v>525</v>
      </c>
      <c r="F108" s="5" t="s">
        <v>530</v>
      </c>
      <c r="G108" s="5" t="s">
        <v>531</v>
      </c>
      <c r="H108" s="4" t="s">
        <v>532</v>
      </c>
      <c r="I108" s="9" t="s">
        <v>149</v>
      </c>
      <c r="J108" s="4" t="s">
        <v>31</v>
      </c>
      <c r="K108" s="4" t="s">
        <v>31</v>
      </c>
      <c r="L108" s="4" t="s">
        <v>27</v>
      </c>
      <c r="M108" s="4" t="s">
        <v>27</v>
      </c>
      <c r="N108" s="4" t="s">
        <v>27</v>
      </c>
      <c r="O108" s="4" t="s">
        <v>27</v>
      </c>
      <c r="P108" s="6" t="str">
        <f t="shared" si="1"/>
        <v>待开发</v>
      </c>
      <c r="Q108" s="5" t="s">
        <v>150</v>
      </c>
      <c r="R108" s="5" t="s">
        <v>150</v>
      </c>
      <c r="S108" s="5" t="s">
        <v>150</v>
      </c>
      <c r="T108" s="5" t="s">
        <v>150</v>
      </c>
      <c r="U108" s="5" t="s">
        <v>150</v>
      </c>
      <c r="V108" s="5" t="s">
        <v>150</v>
      </c>
      <c r="W108" s="5" t="s">
        <v>150</v>
      </c>
    </row>
    <row r="109" ht="36" customHeight="1" spans="1:23">
      <c r="A109" s="4" t="s">
        <v>533</v>
      </c>
      <c r="B109" s="11" t="s">
        <v>125</v>
      </c>
      <c r="C109" s="4" t="s">
        <v>126</v>
      </c>
      <c r="D109" s="5" t="s">
        <v>107</v>
      </c>
      <c r="E109" s="5" t="s">
        <v>525</v>
      </c>
      <c r="F109" s="5" t="s">
        <v>534</v>
      </c>
      <c r="G109" s="5" t="s">
        <v>535</v>
      </c>
      <c r="H109" s="4" t="s">
        <v>532</v>
      </c>
      <c r="I109" s="9" t="s">
        <v>149</v>
      </c>
      <c r="J109" s="4" t="s">
        <v>31</v>
      </c>
      <c r="K109" s="4" t="s">
        <v>31</v>
      </c>
      <c r="L109" s="4" t="s">
        <v>27</v>
      </c>
      <c r="M109" s="4" t="s">
        <v>27</v>
      </c>
      <c r="N109" s="4" t="s">
        <v>27</v>
      </c>
      <c r="O109" s="4" t="s">
        <v>27</v>
      </c>
      <c r="P109" s="6" t="str">
        <f t="shared" si="1"/>
        <v>待开发</v>
      </c>
      <c r="Q109" s="5" t="s">
        <v>150</v>
      </c>
      <c r="R109" s="5" t="s">
        <v>150</v>
      </c>
      <c r="S109" s="5" t="s">
        <v>150</v>
      </c>
      <c r="T109" s="5" t="s">
        <v>150</v>
      </c>
      <c r="U109" s="5" t="s">
        <v>150</v>
      </c>
      <c r="V109" s="5" t="s">
        <v>150</v>
      </c>
      <c r="W109" s="5" t="s">
        <v>150</v>
      </c>
    </row>
    <row r="110" ht="36" customHeight="1" spans="1:23">
      <c r="A110" s="4" t="s">
        <v>536</v>
      </c>
      <c r="B110" s="11" t="s">
        <v>125</v>
      </c>
      <c r="C110" s="4" t="s">
        <v>126</v>
      </c>
      <c r="D110" s="5" t="s">
        <v>107</v>
      </c>
      <c r="E110" s="5" t="s">
        <v>525</v>
      </c>
      <c r="F110" s="5" t="s">
        <v>537</v>
      </c>
      <c r="G110" s="5" t="s">
        <v>538</v>
      </c>
      <c r="H110" s="4" t="s">
        <v>539</v>
      </c>
      <c r="I110" s="9" t="s">
        <v>149</v>
      </c>
      <c r="J110" s="4" t="s">
        <v>31</v>
      </c>
      <c r="K110" s="4" t="s">
        <v>31</v>
      </c>
      <c r="L110" s="4" t="s">
        <v>27</v>
      </c>
      <c r="M110" s="4" t="s">
        <v>27</v>
      </c>
      <c r="N110" s="4" t="s">
        <v>27</v>
      </c>
      <c r="O110" s="4" t="s">
        <v>27</v>
      </c>
      <c r="P110" s="6" t="str">
        <f t="shared" si="1"/>
        <v>待开发</v>
      </c>
      <c r="Q110" s="5" t="s">
        <v>150</v>
      </c>
      <c r="R110" s="5" t="s">
        <v>150</v>
      </c>
      <c r="S110" s="5" t="s">
        <v>150</v>
      </c>
      <c r="T110" s="5" t="s">
        <v>150</v>
      </c>
      <c r="U110" s="5" t="s">
        <v>150</v>
      </c>
      <c r="V110" s="5" t="s">
        <v>150</v>
      </c>
      <c r="W110" s="5" t="s">
        <v>150</v>
      </c>
    </row>
    <row r="111" ht="36" customHeight="1" spans="1:23">
      <c r="A111" s="4" t="s">
        <v>540</v>
      </c>
      <c r="B111" s="11" t="s">
        <v>125</v>
      </c>
      <c r="C111" s="4" t="s">
        <v>126</v>
      </c>
      <c r="D111" s="5" t="s">
        <v>107</v>
      </c>
      <c r="E111" s="5" t="s">
        <v>525</v>
      </c>
      <c r="F111" s="5" t="s">
        <v>541</v>
      </c>
      <c r="G111" s="5" t="s">
        <v>542</v>
      </c>
      <c r="H111" s="4" t="s">
        <v>532</v>
      </c>
      <c r="I111" s="9" t="s">
        <v>149</v>
      </c>
      <c r="J111" s="4" t="s">
        <v>31</v>
      </c>
      <c r="K111" s="4" t="s">
        <v>31</v>
      </c>
      <c r="L111" s="4" t="s">
        <v>27</v>
      </c>
      <c r="M111" s="4" t="s">
        <v>27</v>
      </c>
      <c r="N111" s="4" t="s">
        <v>27</v>
      </c>
      <c r="O111" s="4" t="s">
        <v>27</v>
      </c>
      <c r="P111" s="6" t="str">
        <f t="shared" si="1"/>
        <v>待开发</v>
      </c>
      <c r="Q111" s="5" t="s">
        <v>150</v>
      </c>
      <c r="R111" s="5" t="s">
        <v>150</v>
      </c>
      <c r="S111" s="5" t="s">
        <v>150</v>
      </c>
      <c r="T111" s="5" t="s">
        <v>150</v>
      </c>
      <c r="U111" s="5" t="s">
        <v>150</v>
      </c>
      <c r="V111" s="5" t="s">
        <v>150</v>
      </c>
      <c r="W111" s="5" t="s">
        <v>150</v>
      </c>
    </row>
    <row r="112" ht="36" customHeight="1" spans="1:23">
      <c r="A112" s="4" t="s">
        <v>543</v>
      </c>
      <c r="B112" s="11" t="s">
        <v>125</v>
      </c>
      <c r="C112" s="4" t="s">
        <v>126</v>
      </c>
      <c r="D112" s="5" t="s">
        <v>107</v>
      </c>
      <c r="E112" s="5" t="s">
        <v>525</v>
      </c>
      <c r="F112" s="5" t="s">
        <v>544</v>
      </c>
      <c r="G112" s="5" t="s">
        <v>545</v>
      </c>
      <c r="H112" s="4" t="s">
        <v>532</v>
      </c>
      <c r="I112" s="9" t="s">
        <v>149</v>
      </c>
      <c r="J112" s="4" t="s">
        <v>31</v>
      </c>
      <c r="K112" s="4" t="s">
        <v>31</v>
      </c>
      <c r="L112" s="4" t="s">
        <v>27</v>
      </c>
      <c r="M112" s="4" t="s">
        <v>27</v>
      </c>
      <c r="N112" s="4" t="s">
        <v>27</v>
      </c>
      <c r="O112" s="4" t="s">
        <v>27</v>
      </c>
      <c r="P112" s="6" t="str">
        <f t="shared" si="1"/>
        <v>待开发</v>
      </c>
      <c r="Q112" s="5" t="s">
        <v>150</v>
      </c>
      <c r="R112" s="5" t="s">
        <v>150</v>
      </c>
      <c r="S112" s="5" t="s">
        <v>150</v>
      </c>
      <c r="T112" s="5" t="s">
        <v>150</v>
      </c>
      <c r="U112" s="5" t="s">
        <v>150</v>
      </c>
      <c r="V112" s="5" t="s">
        <v>150</v>
      </c>
      <c r="W112" s="5" t="s">
        <v>150</v>
      </c>
    </row>
    <row r="113" ht="36" customHeight="1" spans="1:23">
      <c r="A113" s="4" t="s">
        <v>546</v>
      </c>
      <c r="B113" s="11" t="s">
        <v>125</v>
      </c>
      <c r="C113" s="4" t="s">
        <v>126</v>
      </c>
      <c r="D113" s="5" t="s">
        <v>107</v>
      </c>
      <c r="E113" s="5" t="s">
        <v>525</v>
      </c>
      <c r="F113" s="5" t="s">
        <v>547</v>
      </c>
      <c r="G113" s="5" t="s">
        <v>548</v>
      </c>
      <c r="H113" s="4" t="s">
        <v>539</v>
      </c>
      <c r="I113" s="9" t="s">
        <v>149</v>
      </c>
      <c r="J113" s="4" t="s">
        <v>31</v>
      </c>
      <c r="K113" s="4" t="s">
        <v>31</v>
      </c>
      <c r="L113" s="4" t="s">
        <v>27</v>
      </c>
      <c r="M113" s="4" t="s">
        <v>27</v>
      </c>
      <c r="N113" s="4" t="s">
        <v>27</v>
      </c>
      <c r="O113" s="4" t="s">
        <v>27</v>
      </c>
      <c r="P113" s="6" t="str">
        <f t="shared" si="1"/>
        <v>待开发</v>
      </c>
      <c r="Q113" s="5" t="s">
        <v>150</v>
      </c>
      <c r="R113" s="5" t="s">
        <v>150</v>
      </c>
      <c r="S113" s="5" t="s">
        <v>150</v>
      </c>
      <c r="T113" s="5" t="s">
        <v>150</v>
      </c>
      <c r="U113" s="5" t="s">
        <v>150</v>
      </c>
      <c r="V113" s="5" t="s">
        <v>150</v>
      </c>
      <c r="W113" s="5" t="s">
        <v>150</v>
      </c>
    </row>
    <row r="114" ht="36" hidden="1" customHeight="1" spans="1:23">
      <c r="A114" s="4" t="s">
        <v>549</v>
      </c>
      <c r="B114" s="11" t="s">
        <v>125</v>
      </c>
      <c r="C114" s="4" t="s">
        <v>126</v>
      </c>
      <c r="D114" s="5" t="s">
        <v>107</v>
      </c>
      <c r="E114" s="5" t="s">
        <v>525</v>
      </c>
      <c r="F114" s="5" t="s">
        <v>550</v>
      </c>
      <c r="G114" s="5" t="s">
        <v>551</v>
      </c>
      <c r="H114" s="4" t="s">
        <v>528</v>
      </c>
      <c r="I114" s="11" t="s">
        <v>215</v>
      </c>
      <c r="J114" s="4" t="s">
        <v>31</v>
      </c>
      <c r="K114" s="4" t="s">
        <v>31</v>
      </c>
      <c r="L114" s="4" t="s">
        <v>27</v>
      </c>
      <c r="M114" s="4" t="s">
        <v>27</v>
      </c>
      <c r="N114" s="4" t="s">
        <v>27</v>
      </c>
      <c r="O114" s="4" t="s">
        <v>27</v>
      </c>
      <c r="P114" s="6" t="str">
        <f t="shared" si="1"/>
        <v>待开发</v>
      </c>
      <c r="Q114" s="5" t="s">
        <v>150</v>
      </c>
      <c r="R114" s="5" t="s">
        <v>150</v>
      </c>
      <c r="S114" s="5" t="s">
        <v>150</v>
      </c>
      <c r="T114" s="5" t="s">
        <v>150</v>
      </c>
      <c r="U114" s="5" t="s">
        <v>150</v>
      </c>
      <c r="V114" s="5" t="s">
        <v>150</v>
      </c>
      <c r="W114" s="5" t="s">
        <v>150</v>
      </c>
    </row>
    <row r="115" ht="36" customHeight="1" spans="1:23">
      <c r="A115" s="4" t="s">
        <v>552</v>
      </c>
      <c r="B115" s="11" t="s">
        <v>125</v>
      </c>
      <c r="C115" s="4" t="s">
        <v>126</v>
      </c>
      <c r="D115" s="5" t="s">
        <v>108</v>
      </c>
      <c r="E115" s="5" t="s">
        <v>108</v>
      </c>
      <c r="F115" s="5" t="s">
        <v>553</v>
      </c>
      <c r="G115" s="5" t="s">
        <v>554</v>
      </c>
      <c r="H115" s="4" t="s">
        <v>555</v>
      </c>
      <c r="I115" s="9" t="s">
        <v>149</v>
      </c>
      <c r="J115" s="4" t="s">
        <v>31</v>
      </c>
      <c r="K115" s="4" t="s">
        <v>31</v>
      </c>
      <c r="L115" s="4" t="s">
        <v>27</v>
      </c>
      <c r="M115" s="4" t="s">
        <v>27</v>
      </c>
      <c r="N115" s="4" t="s">
        <v>27</v>
      </c>
      <c r="O115" s="4" t="s">
        <v>27</v>
      </c>
      <c r="P115" s="6" t="str">
        <f t="shared" si="1"/>
        <v>待开发</v>
      </c>
      <c r="Q115" s="5" t="s">
        <v>150</v>
      </c>
      <c r="R115" s="5" t="s">
        <v>150</v>
      </c>
      <c r="S115" s="5" t="s">
        <v>150</v>
      </c>
      <c r="T115" s="5" t="s">
        <v>150</v>
      </c>
      <c r="U115" s="5" t="s">
        <v>150</v>
      </c>
      <c r="V115" s="5" t="s">
        <v>150</v>
      </c>
      <c r="W115" s="5" t="s">
        <v>150</v>
      </c>
    </row>
    <row r="116" ht="36" customHeight="1" spans="1:23">
      <c r="A116" s="4" t="s">
        <v>556</v>
      </c>
      <c r="B116" s="11" t="s">
        <v>125</v>
      </c>
      <c r="C116" s="4" t="s">
        <v>126</v>
      </c>
      <c r="D116" s="5" t="s">
        <v>108</v>
      </c>
      <c r="E116" s="5" t="s">
        <v>108</v>
      </c>
      <c r="F116" s="5" t="s">
        <v>557</v>
      </c>
      <c r="G116" s="5" t="s">
        <v>558</v>
      </c>
      <c r="H116" s="4" t="s">
        <v>555</v>
      </c>
      <c r="I116" s="9" t="s">
        <v>149</v>
      </c>
      <c r="J116" s="4" t="s">
        <v>31</v>
      </c>
      <c r="K116" s="4" t="s">
        <v>31</v>
      </c>
      <c r="L116" s="4" t="s">
        <v>27</v>
      </c>
      <c r="M116" s="4" t="s">
        <v>27</v>
      </c>
      <c r="N116" s="4" t="s">
        <v>27</v>
      </c>
      <c r="O116" s="4" t="s">
        <v>27</v>
      </c>
      <c r="P116" s="6" t="str">
        <f t="shared" si="1"/>
        <v>待开发</v>
      </c>
      <c r="Q116" s="5" t="s">
        <v>150</v>
      </c>
      <c r="R116" s="5" t="s">
        <v>150</v>
      </c>
      <c r="S116" s="5" t="s">
        <v>150</v>
      </c>
      <c r="T116" s="5" t="s">
        <v>150</v>
      </c>
      <c r="U116" s="5" t="s">
        <v>150</v>
      </c>
      <c r="V116" s="5" t="s">
        <v>150</v>
      </c>
      <c r="W116" s="5" t="s">
        <v>559</v>
      </c>
    </row>
    <row r="117" ht="36" customHeight="1" spans="1:23">
      <c r="A117" s="4" t="s">
        <v>560</v>
      </c>
      <c r="B117" s="11" t="s">
        <v>125</v>
      </c>
      <c r="C117" s="4" t="s">
        <v>126</v>
      </c>
      <c r="D117" s="5" t="s">
        <v>108</v>
      </c>
      <c r="E117" s="5" t="s">
        <v>108</v>
      </c>
      <c r="F117" s="5" t="s">
        <v>561</v>
      </c>
      <c r="G117" s="5" t="s">
        <v>562</v>
      </c>
      <c r="H117" s="4" t="s">
        <v>563</v>
      </c>
      <c r="I117" s="9" t="s">
        <v>149</v>
      </c>
      <c r="J117" s="4" t="s">
        <v>31</v>
      </c>
      <c r="K117" s="4" t="s">
        <v>31</v>
      </c>
      <c r="L117" s="4" t="s">
        <v>27</v>
      </c>
      <c r="M117" s="4" t="s">
        <v>27</v>
      </c>
      <c r="N117" s="4" t="s">
        <v>27</v>
      </c>
      <c r="O117" s="4" t="s">
        <v>27</v>
      </c>
      <c r="P117" s="6" t="str">
        <f t="shared" si="1"/>
        <v>待开发</v>
      </c>
      <c r="Q117" s="5" t="s">
        <v>150</v>
      </c>
      <c r="R117" s="5" t="s">
        <v>150</v>
      </c>
      <c r="S117" s="5" t="s">
        <v>150</v>
      </c>
      <c r="T117" s="5" t="s">
        <v>150</v>
      </c>
      <c r="U117" s="5" t="s">
        <v>150</v>
      </c>
      <c r="V117" s="5" t="s">
        <v>150</v>
      </c>
      <c r="W117" s="5" t="s">
        <v>150</v>
      </c>
    </row>
    <row r="118" ht="36" hidden="1" customHeight="1" spans="1:23">
      <c r="A118" s="4" t="s">
        <v>564</v>
      </c>
      <c r="B118" s="11" t="s">
        <v>125</v>
      </c>
      <c r="C118" s="4" t="s">
        <v>126</v>
      </c>
      <c r="D118" s="5" t="s">
        <v>108</v>
      </c>
      <c r="E118" s="5" t="s">
        <v>108</v>
      </c>
      <c r="F118" s="5" t="s">
        <v>565</v>
      </c>
      <c r="G118" s="5" t="s">
        <v>566</v>
      </c>
      <c r="H118" s="4" t="s">
        <v>555</v>
      </c>
      <c r="I118" s="11" t="s">
        <v>215</v>
      </c>
      <c r="J118" s="4" t="s">
        <v>31</v>
      </c>
      <c r="K118" s="4" t="s">
        <v>31</v>
      </c>
      <c r="L118" s="4" t="s">
        <v>27</v>
      </c>
      <c r="M118" s="4" t="s">
        <v>27</v>
      </c>
      <c r="N118" s="4" t="s">
        <v>27</v>
      </c>
      <c r="O118" s="4" t="s">
        <v>27</v>
      </c>
      <c r="P118" s="6" t="str">
        <f t="shared" si="1"/>
        <v>待开发</v>
      </c>
      <c r="Q118" s="5" t="s">
        <v>150</v>
      </c>
      <c r="R118" s="5" t="s">
        <v>150</v>
      </c>
      <c r="S118" s="5" t="s">
        <v>150</v>
      </c>
      <c r="T118" s="5" t="s">
        <v>150</v>
      </c>
      <c r="U118" s="5" t="s">
        <v>150</v>
      </c>
      <c r="V118" s="5" t="s">
        <v>150</v>
      </c>
      <c r="W118" s="5" t="s">
        <v>150</v>
      </c>
    </row>
    <row r="119" ht="36" hidden="1" customHeight="1" spans="1:23">
      <c r="A119" s="4" t="s">
        <v>567</v>
      </c>
      <c r="B119" s="11" t="s">
        <v>125</v>
      </c>
      <c r="C119" s="4" t="s">
        <v>126</v>
      </c>
      <c r="D119" s="5" t="s">
        <v>108</v>
      </c>
      <c r="E119" s="5" t="s">
        <v>108</v>
      </c>
      <c r="F119" s="5" t="s">
        <v>568</v>
      </c>
      <c r="G119" s="5" t="s">
        <v>569</v>
      </c>
      <c r="H119" s="4" t="s">
        <v>570</v>
      </c>
      <c r="I119" s="11" t="s">
        <v>215</v>
      </c>
      <c r="J119" s="4" t="s">
        <v>31</v>
      </c>
      <c r="K119" s="4" t="s">
        <v>31</v>
      </c>
      <c r="L119" s="4" t="s">
        <v>27</v>
      </c>
      <c r="M119" s="4" t="s">
        <v>27</v>
      </c>
      <c r="N119" s="4" t="s">
        <v>27</v>
      </c>
      <c r="O119" s="4" t="s">
        <v>27</v>
      </c>
      <c r="P119" s="6" t="str">
        <f t="shared" si="1"/>
        <v>待开发</v>
      </c>
      <c r="Q119" s="5" t="s">
        <v>150</v>
      </c>
      <c r="R119" s="5" t="s">
        <v>150</v>
      </c>
      <c r="S119" s="5" t="s">
        <v>150</v>
      </c>
      <c r="T119" s="5" t="s">
        <v>150</v>
      </c>
      <c r="U119" s="5" t="s">
        <v>150</v>
      </c>
      <c r="V119" s="5" t="s">
        <v>150</v>
      </c>
      <c r="W119" s="5" t="s">
        <v>150</v>
      </c>
    </row>
    <row r="120" ht="36" hidden="1" customHeight="1" spans="1:23">
      <c r="A120" s="4" t="s">
        <v>571</v>
      </c>
      <c r="B120" s="11" t="s">
        <v>125</v>
      </c>
      <c r="C120" s="4" t="s">
        <v>126</v>
      </c>
      <c r="D120" s="5" t="s">
        <v>108</v>
      </c>
      <c r="E120" s="5" t="s">
        <v>108</v>
      </c>
      <c r="F120" s="5" t="s">
        <v>572</v>
      </c>
      <c r="G120" s="5" t="s">
        <v>573</v>
      </c>
      <c r="H120" s="4" t="s">
        <v>574</v>
      </c>
      <c r="I120" s="11" t="s">
        <v>215</v>
      </c>
      <c r="J120" s="4" t="s">
        <v>31</v>
      </c>
      <c r="K120" s="4" t="s">
        <v>31</v>
      </c>
      <c r="L120" s="4" t="s">
        <v>27</v>
      </c>
      <c r="M120" s="4" t="s">
        <v>27</v>
      </c>
      <c r="N120" s="4" t="s">
        <v>27</v>
      </c>
      <c r="O120" s="4" t="s">
        <v>27</v>
      </c>
      <c r="P120" s="6" t="str">
        <f t="shared" si="1"/>
        <v>待开发</v>
      </c>
      <c r="Q120" s="5" t="s">
        <v>150</v>
      </c>
      <c r="R120" s="5" t="s">
        <v>150</v>
      </c>
      <c r="S120" s="5" t="s">
        <v>150</v>
      </c>
      <c r="T120" s="5" t="s">
        <v>150</v>
      </c>
      <c r="U120" s="5" t="s">
        <v>150</v>
      </c>
      <c r="V120" s="5" t="s">
        <v>150</v>
      </c>
      <c r="W120" s="5" t="s">
        <v>150</v>
      </c>
    </row>
    <row r="121" ht="36" customHeight="1" spans="1:23">
      <c r="A121" s="4" t="s">
        <v>575</v>
      </c>
      <c r="B121" s="13" t="s">
        <v>127</v>
      </c>
      <c r="C121" s="4" t="s">
        <v>128</v>
      </c>
      <c r="D121" s="5" t="s">
        <v>109</v>
      </c>
      <c r="E121" s="5" t="s">
        <v>109</v>
      </c>
      <c r="F121" s="5" t="s">
        <v>576</v>
      </c>
      <c r="G121" s="5" t="s">
        <v>577</v>
      </c>
      <c r="H121" s="4" t="s">
        <v>406</v>
      </c>
      <c r="I121" s="9" t="s">
        <v>149</v>
      </c>
      <c r="J121" s="4" t="s">
        <v>31</v>
      </c>
      <c r="K121" s="4" t="s">
        <v>31</v>
      </c>
      <c r="L121" s="4" t="s">
        <v>27</v>
      </c>
      <c r="M121" s="4" t="s">
        <v>27</v>
      </c>
      <c r="N121" s="4" t="s">
        <v>27</v>
      </c>
      <c r="O121" s="4" t="s">
        <v>27</v>
      </c>
      <c r="P121" s="6" t="str">
        <f t="shared" si="1"/>
        <v>待开发</v>
      </c>
      <c r="Q121" s="5" t="s">
        <v>150</v>
      </c>
      <c r="R121" s="5" t="s">
        <v>150</v>
      </c>
      <c r="S121" s="5" t="s">
        <v>150</v>
      </c>
      <c r="T121" s="5" t="s">
        <v>150</v>
      </c>
      <c r="U121" s="5" t="s">
        <v>150</v>
      </c>
      <c r="V121" s="5" t="s">
        <v>150</v>
      </c>
      <c r="W121" s="5" t="s">
        <v>150</v>
      </c>
    </row>
    <row r="122" ht="36" customHeight="1" spans="1:23">
      <c r="A122" s="4" t="s">
        <v>578</v>
      </c>
      <c r="B122" s="13" t="s">
        <v>127</v>
      </c>
      <c r="C122" s="4" t="s">
        <v>128</v>
      </c>
      <c r="D122" s="5" t="s">
        <v>109</v>
      </c>
      <c r="E122" s="5" t="s">
        <v>109</v>
      </c>
      <c r="F122" s="5" t="s">
        <v>579</v>
      </c>
      <c r="G122" s="5" t="s">
        <v>580</v>
      </c>
      <c r="H122" s="4" t="s">
        <v>406</v>
      </c>
      <c r="I122" s="9" t="s">
        <v>149</v>
      </c>
      <c r="J122" s="4" t="s">
        <v>31</v>
      </c>
      <c r="K122" s="4" t="s">
        <v>31</v>
      </c>
      <c r="L122" s="4" t="s">
        <v>27</v>
      </c>
      <c r="M122" s="4" t="s">
        <v>27</v>
      </c>
      <c r="N122" s="4" t="s">
        <v>27</v>
      </c>
      <c r="O122" s="4" t="s">
        <v>27</v>
      </c>
      <c r="P122" s="6" t="str">
        <f t="shared" si="1"/>
        <v>待开发</v>
      </c>
      <c r="Q122" s="5" t="s">
        <v>150</v>
      </c>
      <c r="R122" s="5" t="s">
        <v>150</v>
      </c>
      <c r="S122" s="5" t="s">
        <v>150</v>
      </c>
      <c r="T122" s="5" t="s">
        <v>150</v>
      </c>
      <c r="U122" s="5" t="s">
        <v>150</v>
      </c>
      <c r="V122" s="5" t="s">
        <v>150</v>
      </c>
      <c r="W122" s="5" t="s">
        <v>150</v>
      </c>
    </row>
    <row r="123" ht="36" customHeight="1" spans="1:23">
      <c r="A123" s="4" t="s">
        <v>581</v>
      </c>
      <c r="B123" s="13" t="s">
        <v>127</v>
      </c>
      <c r="C123" s="4" t="s">
        <v>128</v>
      </c>
      <c r="D123" s="5" t="s">
        <v>109</v>
      </c>
      <c r="E123" s="5" t="s">
        <v>109</v>
      </c>
      <c r="F123" s="5" t="s">
        <v>582</v>
      </c>
      <c r="G123" s="5" t="s">
        <v>583</v>
      </c>
      <c r="H123" s="4" t="s">
        <v>406</v>
      </c>
      <c r="I123" s="9" t="s">
        <v>149</v>
      </c>
      <c r="J123" s="4" t="s">
        <v>31</v>
      </c>
      <c r="K123" s="4" t="s">
        <v>31</v>
      </c>
      <c r="L123" s="4" t="s">
        <v>27</v>
      </c>
      <c r="M123" s="4" t="s">
        <v>27</v>
      </c>
      <c r="N123" s="4" t="s">
        <v>27</v>
      </c>
      <c r="O123" s="4" t="s">
        <v>27</v>
      </c>
      <c r="P123" s="6" t="str">
        <f t="shared" si="1"/>
        <v>待开发</v>
      </c>
      <c r="Q123" s="5" t="s">
        <v>150</v>
      </c>
      <c r="R123" s="5" t="s">
        <v>150</v>
      </c>
      <c r="S123" s="5" t="s">
        <v>150</v>
      </c>
      <c r="T123" s="5" t="s">
        <v>150</v>
      </c>
      <c r="U123" s="5" t="s">
        <v>150</v>
      </c>
      <c r="V123" s="5" t="s">
        <v>150</v>
      </c>
      <c r="W123" s="5" t="s">
        <v>150</v>
      </c>
    </row>
    <row r="124" ht="36" customHeight="1" spans="1:23">
      <c r="A124" s="4" t="s">
        <v>584</v>
      </c>
      <c r="B124" s="13" t="s">
        <v>127</v>
      </c>
      <c r="C124" s="4" t="s">
        <v>128</v>
      </c>
      <c r="D124" s="5" t="s">
        <v>109</v>
      </c>
      <c r="E124" s="5" t="s">
        <v>109</v>
      </c>
      <c r="F124" s="5" t="s">
        <v>585</v>
      </c>
      <c r="G124" s="5" t="s">
        <v>586</v>
      </c>
      <c r="H124" s="4" t="s">
        <v>406</v>
      </c>
      <c r="I124" s="9" t="s">
        <v>149</v>
      </c>
      <c r="J124" s="4" t="s">
        <v>31</v>
      </c>
      <c r="K124" s="4" t="s">
        <v>31</v>
      </c>
      <c r="L124" s="4" t="s">
        <v>27</v>
      </c>
      <c r="M124" s="4" t="s">
        <v>27</v>
      </c>
      <c r="N124" s="4" t="s">
        <v>27</v>
      </c>
      <c r="O124" s="4" t="s">
        <v>27</v>
      </c>
      <c r="P124" s="6" t="str">
        <f t="shared" si="1"/>
        <v>待开发</v>
      </c>
      <c r="Q124" s="5" t="s">
        <v>150</v>
      </c>
      <c r="R124" s="5" t="s">
        <v>150</v>
      </c>
      <c r="S124" s="5" t="s">
        <v>150</v>
      </c>
      <c r="T124" s="5" t="s">
        <v>150</v>
      </c>
      <c r="U124" s="5" t="s">
        <v>150</v>
      </c>
      <c r="V124" s="5" t="s">
        <v>150</v>
      </c>
      <c r="W124" s="5" t="s">
        <v>150</v>
      </c>
    </row>
    <row r="125" ht="36" customHeight="1" spans="1:23">
      <c r="A125" s="4" t="s">
        <v>587</v>
      </c>
      <c r="B125" s="13" t="s">
        <v>127</v>
      </c>
      <c r="C125" s="4" t="s">
        <v>128</v>
      </c>
      <c r="D125" s="5" t="s">
        <v>109</v>
      </c>
      <c r="E125" s="5" t="s">
        <v>109</v>
      </c>
      <c r="F125" s="5" t="s">
        <v>588</v>
      </c>
      <c r="G125" s="5" t="s">
        <v>589</v>
      </c>
      <c r="H125" s="4" t="s">
        <v>406</v>
      </c>
      <c r="I125" s="9" t="s">
        <v>149</v>
      </c>
      <c r="J125" s="4" t="s">
        <v>31</v>
      </c>
      <c r="K125" s="4" t="s">
        <v>31</v>
      </c>
      <c r="L125" s="4" t="s">
        <v>27</v>
      </c>
      <c r="M125" s="4" t="s">
        <v>27</v>
      </c>
      <c r="N125" s="4" t="s">
        <v>27</v>
      </c>
      <c r="O125" s="4" t="s">
        <v>27</v>
      </c>
      <c r="P125" s="6" t="str">
        <f t="shared" si="1"/>
        <v>待开发</v>
      </c>
      <c r="Q125" s="5" t="s">
        <v>150</v>
      </c>
      <c r="R125" s="5" t="s">
        <v>150</v>
      </c>
      <c r="S125" s="5" t="s">
        <v>150</v>
      </c>
      <c r="T125" s="5" t="s">
        <v>150</v>
      </c>
      <c r="U125" s="5" t="s">
        <v>150</v>
      </c>
      <c r="V125" s="5" t="s">
        <v>150</v>
      </c>
      <c r="W125" s="5" t="s">
        <v>150</v>
      </c>
    </row>
    <row r="126" ht="36" customHeight="1" spans="1:23">
      <c r="A126" s="4" t="s">
        <v>590</v>
      </c>
      <c r="B126" s="13" t="s">
        <v>127</v>
      </c>
      <c r="C126" s="4" t="s">
        <v>128</v>
      </c>
      <c r="D126" s="5" t="s">
        <v>109</v>
      </c>
      <c r="E126" s="5" t="s">
        <v>109</v>
      </c>
      <c r="F126" s="5" t="s">
        <v>591</v>
      </c>
      <c r="G126" s="5" t="s">
        <v>592</v>
      </c>
      <c r="H126" s="4" t="s">
        <v>406</v>
      </c>
      <c r="I126" s="9" t="s">
        <v>149</v>
      </c>
      <c r="J126" s="4" t="s">
        <v>31</v>
      </c>
      <c r="K126" s="4" t="s">
        <v>31</v>
      </c>
      <c r="L126" s="4" t="s">
        <v>27</v>
      </c>
      <c r="M126" s="4" t="s">
        <v>27</v>
      </c>
      <c r="N126" s="4" t="s">
        <v>27</v>
      </c>
      <c r="O126" s="4" t="s">
        <v>27</v>
      </c>
      <c r="P126" s="6" t="str">
        <f t="shared" si="1"/>
        <v>待开发</v>
      </c>
      <c r="Q126" s="5" t="s">
        <v>150</v>
      </c>
      <c r="R126" s="5" t="s">
        <v>150</v>
      </c>
      <c r="S126" s="5" t="s">
        <v>150</v>
      </c>
      <c r="T126" s="5" t="s">
        <v>150</v>
      </c>
      <c r="U126" s="5" t="s">
        <v>150</v>
      </c>
      <c r="V126" s="5" t="s">
        <v>150</v>
      </c>
      <c r="W126" s="5" t="s">
        <v>150</v>
      </c>
    </row>
    <row r="127" ht="36" customHeight="1" spans="1:23">
      <c r="A127" s="4" t="s">
        <v>593</v>
      </c>
      <c r="B127" s="13" t="s">
        <v>127</v>
      </c>
      <c r="C127" s="4" t="s">
        <v>128</v>
      </c>
      <c r="D127" s="5" t="s">
        <v>109</v>
      </c>
      <c r="E127" s="5" t="s">
        <v>109</v>
      </c>
      <c r="F127" s="5" t="s">
        <v>594</v>
      </c>
      <c r="G127" s="5" t="s">
        <v>595</v>
      </c>
      <c r="H127" s="4" t="s">
        <v>148</v>
      </c>
      <c r="I127" s="9" t="s">
        <v>149</v>
      </c>
      <c r="J127" s="4" t="s">
        <v>35</v>
      </c>
      <c r="K127" s="4" t="s">
        <v>35</v>
      </c>
      <c r="L127" s="4" t="s">
        <v>35</v>
      </c>
      <c r="M127" s="4" t="s">
        <v>27</v>
      </c>
      <c r="N127" s="4" t="s">
        <v>35</v>
      </c>
      <c r="O127" s="4" t="s">
        <v>27</v>
      </c>
      <c r="P127" s="6" t="str">
        <f t="shared" si="1"/>
        <v>待开发</v>
      </c>
      <c r="Q127" s="5" t="s">
        <v>150</v>
      </c>
      <c r="R127" s="5" t="s">
        <v>150</v>
      </c>
      <c r="S127" s="5" t="s">
        <v>150</v>
      </c>
      <c r="T127" s="5" t="s">
        <v>150</v>
      </c>
      <c r="U127" s="5" t="s">
        <v>150</v>
      </c>
      <c r="V127" s="5" t="s">
        <v>150</v>
      </c>
      <c r="W127" s="5" t="s">
        <v>596</v>
      </c>
    </row>
    <row r="128" ht="36" customHeight="1" spans="1:23">
      <c r="A128" s="4" t="s">
        <v>597</v>
      </c>
      <c r="B128" s="13" t="s">
        <v>127</v>
      </c>
      <c r="C128" s="4" t="s">
        <v>128</v>
      </c>
      <c r="D128" s="5" t="s">
        <v>110</v>
      </c>
      <c r="E128" s="5" t="s">
        <v>110</v>
      </c>
      <c r="F128" s="5" t="s">
        <v>598</v>
      </c>
      <c r="G128" s="5" t="s">
        <v>599</v>
      </c>
      <c r="H128" s="4" t="s">
        <v>600</v>
      </c>
      <c r="I128" s="9" t="s">
        <v>149</v>
      </c>
      <c r="J128" s="4" t="s">
        <v>31</v>
      </c>
      <c r="K128" s="4" t="s">
        <v>31</v>
      </c>
      <c r="L128" s="4" t="s">
        <v>27</v>
      </c>
      <c r="M128" s="4" t="s">
        <v>27</v>
      </c>
      <c r="N128" s="4" t="s">
        <v>27</v>
      </c>
      <c r="O128" s="4" t="s">
        <v>27</v>
      </c>
      <c r="P128" s="6" t="str">
        <f t="shared" si="1"/>
        <v>待开发</v>
      </c>
      <c r="Q128" s="5" t="s">
        <v>150</v>
      </c>
      <c r="R128" s="5" t="s">
        <v>150</v>
      </c>
      <c r="S128" s="5" t="s">
        <v>150</v>
      </c>
      <c r="T128" s="5" t="s">
        <v>150</v>
      </c>
      <c r="U128" s="5" t="s">
        <v>150</v>
      </c>
      <c r="V128" s="5" t="s">
        <v>150</v>
      </c>
      <c r="W128" s="5" t="s">
        <v>150</v>
      </c>
    </row>
    <row r="129" ht="36" customHeight="1" spans="1:23">
      <c r="A129" s="4" t="s">
        <v>601</v>
      </c>
      <c r="B129" s="13" t="s">
        <v>127</v>
      </c>
      <c r="C129" s="4" t="s">
        <v>128</v>
      </c>
      <c r="D129" s="5" t="s">
        <v>110</v>
      </c>
      <c r="E129" s="5" t="s">
        <v>110</v>
      </c>
      <c r="F129" s="5" t="s">
        <v>602</v>
      </c>
      <c r="G129" s="5" t="s">
        <v>603</v>
      </c>
      <c r="H129" s="4" t="s">
        <v>604</v>
      </c>
      <c r="I129" s="9" t="s">
        <v>149</v>
      </c>
      <c r="J129" s="4" t="s">
        <v>31</v>
      </c>
      <c r="K129" s="4" t="s">
        <v>31</v>
      </c>
      <c r="L129" s="4" t="s">
        <v>27</v>
      </c>
      <c r="M129" s="4" t="s">
        <v>27</v>
      </c>
      <c r="N129" s="4" t="s">
        <v>27</v>
      </c>
      <c r="O129" s="4" t="s">
        <v>27</v>
      </c>
      <c r="P129" s="6" t="str">
        <f t="shared" si="1"/>
        <v>待开发</v>
      </c>
      <c r="Q129" s="5" t="s">
        <v>150</v>
      </c>
      <c r="R129" s="5" t="s">
        <v>150</v>
      </c>
      <c r="S129" s="5" t="s">
        <v>150</v>
      </c>
      <c r="T129" s="5" t="s">
        <v>150</v>
      </c>
      <c r="U129" s="5" t="s">
        <v>150</v>
      </c>
      <c r="V129" s="5" t="s">
        <v>150</v>
      </c>
      <c r="W129" s="5" t="s">
        <v>150</v>
      </c>
    </row>
    <row r="130" ht="36" customHeight="1" spans="1:23">
      <c r="A130" s="4" t="s">
        <v>605</v>
      </c>
      <c r="B130" s="13" t="s">
        <v>127</v>
      </c>
      <c r="C130" s="4" t="s">
        <v>128</v>
      </c>
      <c r="D130" s="5" t="s">
        <v>110</v>
      </c>
      <c r="E130" s="5" t="s">
        <v>110</v>
      </c>
      <c r="F130" s="5" t="s">
        <v>606</v>
      </c>
      <c r="G130" s="5" t="s">
        <v>607</v>
      </c>
      <c r="H130" s="4" t="s">
        <v>608</v>
      </c>
      <c r="I130" s="9" t="s">
        <v>149</v>
      </c>
      <c r="J130" s="4" t="s">
        <v>31</v>
      </c>
      <c r="K130" s="4" t="s">
        <v>31</v>
      </c>
      <c r="L130" s="4" t="s">
        <v>27</v>
      </c>
      <c r="M130" s="4" t="s">
        <v>27</v>
      </c>
      <c r="N130" s="4" t="s">
        <v>27</v>
      </c>
      <c r="O130" s="4" t="s">
        <v>27</v>
      </c>
      <c r="P130" s="6" t="str">
        <f t="shared" ref="P130:P154" si="2">IF(COUNTIF(J130:O130,"阻塞")&gt;0,"阻塞",IF(COUNTIFS(J130:O130,"&lt;&gt;已完成",J130:O130,"&lt;&gt;不适用")=0,"已完成",IF(OR(O130="进行中",AND(OR(L130="已完成",L130="不适用"),OR(M130="已完成",M130="不适用"),OR(N130="已完成",N130="不适用"),AND(O130&lt;&gt;"已完成",O130&lt;&gt;"不适用"),OR(L130="已完成",M130="已完成",N130="已完成"))),"测试中",IF(OR(N130="进行中",AND(OR(L130="已完成",L130="不适用"),OR(M130="已完成",M130="不适用"),AND(N130&lt;&gt;"已完成",N130&lt;&gt;"不适用"),OR(L130="已完成",M130="已完成"))),"对接中",IF(OR(L130="进行中",L130="已完成",M130="进行中",M130="已完成"),"开发中",IF(AND(OR(J130="已完成",J130="不适用"),OR(K130="已完成",K130="不适用")),"待开发",IF(K130="进行中","UI设计中",IF(OR(J130="进行中",J130="已完成"),"原型中","未开始"))))))))</f>
        <v>待开发</v>
      </c>
      <c r="Q130" s="5" t="s">
        <v>150</v>
      </c>
      <c r="R130" s="5" t="s">
        <v>150</v>
      </c>
      <c r="S130" s="5" t="s">
        <v>150</v>
      </c>
      <c r="T130" s="5" t="s">
        <v>150</v>
      </c>
      <c r="U130" s="5" t="s">
        <v>150</v>
      </c>
      <c r="V130" s="5" t="s">
        <v>150</v>
      </c>
      <c r="W130" s="5" t="s">
        <v>150</v>
      </c>
    </row>
    <row r="131" ht="36" hidden="1" customHeight="1" spans="1:23">
      <c r="A131" s="4" t="s">
        <v>609</v>
      </c>
      <c r="B131" s="13" t="s">
        <v>127</v>
      </c>
      <c r="C131" s="4" t="s">
        <v>128</v>
      </c>
      <c r="D131" s="5" t="s">
        <v>110</v>
      </c>
      <c r="E131" s="5" t="s">
        <v>110</v>
      </c>
      <c r="F131" s="5" t="s">
        <v>610</v>
      </c>
      <c r="G131" s="5" t="s">
        <v>611</v>
      </c>
      <c r="H131" s="4" t="s">
        <v>612</v>
      </c>
      <c r="I131" s="14" t="s">
        <v>613</v>
      </c>
      <c r="J131" s="4" t="s">
        <v>31</v>
      </c>
      <c r="K131" s="4" t="s">
        <v>31</v>
      </c>
      <c r="L131" s="4" t="s">
        <v>27</v>
      </c>
      <c r="M131" s="4" t="s">
        <v>27</v>
      </c>
      <c r="N131" s="4" t="s">
        <v>27</v>
      </c>
      <c r="O131" s="4" t="s">
        <v>27</v>
      </c>
      <c r="P131" s="6" t="str">
        <f t="shared" si="2"/>
        <v>待开发</v>
      </c>
      <c r="Q131" s="5" t="s">
        <v>150</v>
      </c>
      <c r="R131" s="5" t="s">
        <v>150</v>
      </c>
      <c r="S131" s="5" t="s">
        <v>150</v>
      </c>
      <c r="T131" s="5" t="s">
        <v>150</v>
      </c>
      <c r="U131" s="5" t="s">
        <v>150</v>
      </c>
      <c r="V131" s="5" t="s">
        <v>150</v>
      </c>
      <c r="W131" s="5" t="s">
        <v>150</v>
      </c>
    </row>
    <row r="132" ht="36" hidden="1" customHeight="1" spans="1:23">
      <c r="A132" s="4" t="s">
        <v>614</v>
      </c>
      <c r="B132" s="13" t="s">
        <v>127</v>
      </c>
      <c r="C132" s="4" t="s">
        <v>128</v>
      </c>
      <c r="D132" s="5" t="s">
        <v>110</v>
      </c>
      <c r="E132" s="5" t="s">
        <v>110</v>
      </c>
      <c r="F132" s="5" t="s">
        <v>615</v>
      </c>
      <c r="G132" s="5" t="s">
        <v>616</v>
      </c>
      <c r="H132" s="4" t="s">
        <v>617</v>
      </c>
      <c r="I132" s="14" t="s">
        <v>613</v>
      </c>
      <c r="J132" s="4" t="s">
        <v>31</v>
      </c>
      <c r="K132" s="4" t="s">
        <v>31</v>
      </c>
      <c r="L132" s="4" t="s">
        <v>27</v>
      </c>
      <c r="M132" s="4" t="s">
        <v>27</v>
      </c>
      <c r="N132" s="4" t="s">
        <v>27</v>
      </c>
      <c r="O132" s="4" t="s">
        <v>27</v>
      </c>
      <c r="P132" s="6" t="str">
        <f t="shared" si="2"/>
        <v>待开发</v>
      </c>
      <c r="Q132" s="5" t="s">
        <v>150</v>
      </c>
      <c r="R132" s="5" t="s">
        <v>150</v>
      </c>
      <c r="S132" s="5" t="s">
        <v>150</v>
      </c>
      <c r="T132" s="5" t="s">
        <v>150</v>
      </c>
      <c r="U132" s="5" t="s">
        <v>150</v>
      </c>
      <c r="V132" s="5" t="s">
        <v>150</v>
      </c>
      <c r="W132" s="5" t="s">
        <v>150</v>
      </c>
    </row>
    <row r="133" ht="36" hidden="1" customHeight="1" spans="1:23">
      <c r="A133" s="4" t="s">
        <v>618</v>
      </c>
      <c r="B133" s="13" t="s">
        <v>127</v>
      </c>
      <c r="C133" s="4" t="s">
        <v>128</v>
      </c>
      <c r="D133" s="5" t="s">
        <v>110</v>
      </c>
      <c r="E133" s="5" t="s">
        <v>110</v>
      </c>
      <c r="F133" s="5" t="s">
        <v>619</v>
      </c>
      <c r="G133" s="5" t="s">
        <v>620</v>
      </c>
      <c r="H133" s="4" t="s">
        <v>621</v>
      </c>
      <c r="I133" s="14" t="s">
        <v>613</v>
      </c>
      <c r="J133" s="4" t="s">
        <v>31</v>
      </c>
      <c r="K133" s="4" t="s">
        <v>31</v>
      </c>
      <c r="L133" s="4" t="s">
        <v>27</v>
      </c>
      <c r="M133" s="4" t="s">
        <v>27</v>
      </c>
      <c r="N133" s="4" t="s">
        <v>27</v>
      </c>
      <c r="O133" s="4" t="s">
        <v>27</v>
      </c>
      <c r="P133" s="6" t="str">
        <f t="shared" si="2"/>
        <v>待开发</v>
      </c>
      <c r="Q133" s="5" t="s">
        <v>150</v>
      </c>
      <c r="R133" s="5" t="s">
        <v>150</v>
      </c>
      <c r="S133" s="5" t="s">
        <v>150</v>
      </c>
      <c r="T133" s="5" t="s">
        <v>150</v>
      </c>
      <c r="U133" s="5" t="s">
        <v>150</v>
      </c>
      <c r="V133" s="5" t="s">
        <v>150</v>
      </c>
      <c r="W133" s="5" t="s">
        <v>150</v>
      </c>
    </row>
    <row r="134" ht="36" customHeight="1" spans="1:23">
      <c r="A134" s="4" t="s">
        <v>622</v>
      </c>
      <c r="B134" s="13" t="s">
        <v>127</v>
      </c>
      <c r="C134" s="4" t="s">
        <v>128</v>
      </c>
      <c r="D134" s="5" t="s">
        <v>110</v>
      </c>
      <c r="E134" s="5" t="s">
        <v>110</v>
      </c>
      <c r="F134" s="5" t="s">
        <v>623</v>
      </c>
      <c r="G134" s="5" t="s">
        <v>624</v>
      </c>
      <c r="H134" s="4" t="s">
        <v>600</v>
      </c>
      <c r="I134" s="9" t="s">
        <v>149</v>
      </c>
      <c r="J134" s="4" t="s">
        <v>35</v>
      </c>
      <c r="K134" s="4" t="s">
        <v>35</v>
      </c>
      <c r="L134" s="4" t="s">
        <v>35</v>
      </c>
      <c r="M134" s="4" t="s">
        <v>27</v>
      </c>
      <c r="N134" s="4" t="s">
        <v>27</v>
      </c>
      <c r="O134" s="4" t="s">
        <v>27</v>
      </c>
      <c r="P134" s="6" t="str">
        <f t="shared" si="2"/>
        <v>待开发</v>
      </c>
      <c r="Q134" s="5" t="s">
        <v>150</v>
      </c>
      <c r="R134" s="5" t="s">
        <v>150</v>
      </c>
      <c r="S134" s="5" t="s">
        <v>150</v>
      </c>
      <c r="T134" s="5" t="s">
        <v>150</v>
      </c>
      <c r="U134" s="5" t="s">
        <v>150</v>
      </c>
      <c r="V134" s="5" t="s">
        <v>150</v>
      </c>
      <c r="W134" s="5" t="s">
        <v>150</v>
      </c>
    </row>
    <row r="135" ht="36" customHeight="1" spans="1:23">
      <c r="A135" s="4" t="s">
        <v>625</v>
      </c>
      <c r="B135" s="10" t="s">
        <v>121</v>
      </c>
      <c r="C135" s="4" t="s">
        <v>122</v>
      </c>
      <c r="D135" s="5" t="s">
        <v>111</v>
      </c>
      <c r="E135" s="5" t="s">
        <v>111</v>
      </c>
      <c r="F135" s="5" t="s">
        <v>626</v>
      </c>
      <c r="G135" s="5" t="s">
        <v>627</v>
      </c>
      <c r="H135" s="4" t="s">
        <v>188</v>
      </c>
      <c r="I135" s="9" t="s">
        <v>149</v>
      </c>
      <c r="J135" s="4" t="s">
        <v>31</v>
      </c>
      <c r="K135" s="4" t="s">
        <v>31</v>
      </c>
      <c r="L135" s="4" t="s">
        <v>27</v>
      </c>
      <c r="M135" s="4" t="s">
        <v>27</v>
      </c>
      <c r="N135" s="4" t="s">
        <v>27</v>
      </c>
      <c r="O135" s="4" t="s">
        <v>27</v>
      </c>
      <c r="P135" s="6" t="str">
        <f t="shared" si="2"/>
        <v>待开发</v>
      </c>
      <c r="Q135" s="5" t="s">
        <v>150</v>
      </c>
      <c r="R135" s="5" t="s">
        <v>150</v>
      </c>
      <c r="S135" s="5" t="s">
        <v>150</v>
      </c>
      <c r="T135" s="5" t="s">
        <v>150</v>
      </c>
      <c r="U135" s="5" t="s">
        <v>150</v>
      </c>
      <c r="V135" s="5" t="s">
        <v>150</v>
      </c>
      <c r="W135" s="5" t="s">
        <v>150</v>
      </c>
    </row>
    <row r="136" ht="36" customHeight="1" spans="1:23">
      <c r="A136" s="4" t="s">
        <v>628</v>
      </c>
      <c r="B136" s="10" t="s">
        <v>121</v>
      </c>
      <c r="C136" s="4" t="s">
        <v>122</v>
      </c>
      <c r="D136" s="5" t="s">
        <v>111</v>
      </c>
      <c r="E136" s="5" t="s">
        <v>111</v>
      </c>
      <c r="F136" s="5" t="s">
        <v>629</v>
      </c>
      <c r="G136" s="5" t="s">
        <v>630</v>
      </c>
      <c r="H136" s="4" t="s">
        <v>631</v>
      </c>
      <c r="I136" s="9" t="s">
        <v>149</v>
      </c>
      <c r="J136" s="4" t="s">
        <v>31</v>
      </c>
      <c r="K136" s="4" t="s">
        <v>31</v>
      </c>
      <c r="L136" s="4" t="s">
        <v>27</v>
      </c>
      <c r="M136" s="4" t="s">
        <v>27</v>
      </c>
      <c r="N136" s="4" t="s">
        <v>27</v>
      </c>
      <c r="O136" s="4" t="s">
        <v>27</v>
      </c>
      <c r="P136" s="6" t="str">
        <f t="shared" si="2"/>
        <v>待开发</v>
      </c>
      <c r="Q136" s="5" t="s">
        <v>150</v>
      </c>
      <c r="R136" s="5" t="s">
        <v>150</v>
      </c>
      <c r="S136" s="5" t="s">
        <v>150</v>
      </c>
      <c r="T136" s="5" t="s">
        <v>150</v>
      </c>
      <c r="U136" s="5" t="s">
        <v>150</v>
      </c>
      <c r="V136" s="5" t="s">
        <v>150</v>
      </c>
      <c r="W136" s="5" t="s">
        <v>150</v>
      </c>
    </row>
    <row r="137" ht="36" customHeight="1" spans="1:23">
      <c r="A137" s="4" t="s">
        <v>632</v>
      </c>
      <c r="B137" s="10" t="s">
        <v>121</v>
      </c>
      <c r="C137" s="4" t="s">
        <v>122</v>
      </c>
      <c r="D137" s="5" t="s">
        <v>111</v>
      </c>
      <c r="E137" s="5" t="s">
        <v>111</v>
      </c>
      <c r="F137" s="5" t="s">
        <v>633</v>
      </c>
      <c r="G137" s="5" t="s">
        <v>634</v>
      </c>
      <c r="H137" s="4" t="s">
        <v>188</v>
      </c>
      <c r="I137" s="9" t="s">
        <v>149</v>
      </c>
      <c r="J137" s="4" t="s">
        <v>31</v>
      </c>
      <c r="K137" s="4" t="s">
        <v>31</v>
      </c>
      <c r="L137" s="4" t="s">
        <v>27</v>
      </c>
      <c r="M137" s="4" t="s">
        <v>27</v>
      </c>
      <c r="N137" s="4" t="s">
        <v>27</v>
      </c>
      <c r="O137" s="4" t="s">
        <v>27</v>
      </c>
      <c r="P137" s="6" t="str">
        <f t="shared" si="2"/>
        <v>待开发</v>
      </c>
      <c r="Q137" s="5" t="s">
        <v>150</v>
      </c>
      <c r="R137" s="5" t="s">
        <v>150</v>
      </c>
      <c r="S137" s="5" t="s">
        <v>150</v>
      </c>
      <c r="T137" s="5" t="s">
        <v>150</v>
      </c>
      <c r="U137" s="5" t="s">
        <v>150</v>
      </c>
      <c r="V137" s="5" t="s">
        <v>150</v>
      </c>
      <c r="W137" s="5" t="s">
        <v>150</v>
      </c>
    </row>
    <row r="138" ht="36" customHeight="1" spans="1:23">
      <c r="A138" s="4" t="s">
        <v>635</v>
      </c>
      <c r="B138" s="13" t="s">
        <v>127</v>
      </c>
      <c r="C138" s="4" t="s">
        <v>128</v>
      </c>
      <c r="D138" s="5" t="s">
        <v>112</v>
      </c>
      <c r="E138" s="5" t="s">
        <v>112</v>
      </c>
      <c r="F138" s="5" t="s">
        <v>636</v>
      </c>
      <c r="G138" s="5" t="s">
        <v>637</v>
      </c>
      <c r="H138" s="4" t="s">
        <v>638</v>
      </c>
      <c r="I138" s="9" t="s">
        <v>149</v>
      </c>
      <c r="J138" s="4" t="s">
        <v>31</v>
      </c>
      <c r="K138" s="4" t="s">
        <v>31</v>
      </c>
      <c r="L138" s="4" t="s">
        <v>27</v>
      </c>
      <c r="M138" s="4" t="s">
        <v>27</v>
      </c>
      <c r="N138" s="4" t="s">
        <v>27</v>
      </c>
      <c r="O138" s="4" t="s">
        <v>27</v>
      </c>
      <c r="P138" s="6" t="str">
        <f t="shared" si="2"/>
        <v>待开发</v>
      </c>
      <c r="Q138" s="5" t="s">
        <v>150</v>
      </c>
      <c r="R138" s="5" t="s">
        <v>150</v>
      </c>
      <c r="S138" s="5" t="s">
        <v>150</v>
      </c>
      <c r="T138" s="5" t="s">
        <v>150</v>
      </c>
      <c r="U138" s="5" t="s">
        <v>150</v>
      </c>
      <c r="V138" s="5" t="s">
        <v>150</v>
      </c>
      <c r="W138" s="5" t="s">
        <v>150</v>
      </c>
    </row>
    <row r="139" ht="36" customHeight="1" spans="1:23">
      <c r="A139" s="4" t="s">
        <v>639</v>
      </c>
      <c r="B139" s="13" t="s">
        <v>127</v>
      </c>
      <c r="C139" s="4" t="s">
        <v>128</v>
      </c>
      <c r="D139" s="5" t="s">
        <v>112</v>
      </c>
      <c r="E139" s="5" t="s">
        <v>112</v>
      </c>
      <c r="F139" s="5" t="s">
        <v>640</v>
      </c>
      <c r="G139" s="5" t="s">
        <v>641</v>
      </c>
      <c r="H139" s="4" t="s">
        <v>638</v>
      </c>
      <c r="I139" s="9" t="s">
        <v>149</v>
      </c>
      <c r="J139" s="4" t="s">
        <v>31</v>
      </c>
      <c r="K139" s="4" t="s">
        <v>31</v>
      </c>
      <c r="L139" s="4" t="s">
        <v>27</v>
      </c>
      <c r="M139" s="4" t="s">
        <v>27</v>
      </c>
      <c r="N139" s="4" t="s">
        <v>27</v>
      </c>
      <c r="O139" s="4" t="s">
        <v>27</v>
      </c>
      <c r="P139" s="6" t="str">
        <f t="shared" si="2"/>
        <v>待开发</v>
      </c>
      <c r="Q139" s="5" t="s">
        <v>150</v>
      </c>
      <c r="R139" s="5" t="s">
        <v>150</v>
      </c>
      <c r="S139" s="5" t="s">
        <v>150</v>
      </c>
      <c r="T139" s="5" t="s">
        <v>150</v>
      </c>
      <c r="U139" s="5" t="s">
        <v>150</v>
      </c>
      <c r="V139" s="5" t="s">
        <v>150</v>
      </c>
      <c r="W139" s="5" t="s">
        <v>150</v>
      </c>
    </row>
    <row r="140" ht="36" hidden="1" customHeight="1" spans="1:23">
      <c r="A140" s="4" t="s">
        <v>642</v>
      </c>
      <c r="B140" s="13" t="s">
        <v>127</v>
      </c>
      <c r="C140" s="4" t="s">
        <v>128</v>
      </c>
      <c r="D140" s="5" t="s">
        <v>112</v>
      </c>
      <c r="E140" s="5" t="s">
        <v>112</v>
      </c>
      <c r="F140" s="5" t="s">
        <v>643</v>
      </c>
      <c r="G140" s="5" t="s">
        <v>644</v>
      </c>
      <c r="H140" s="4" t="s">
        <v>230</v>
      </c>
      <c r="I140" s="11" t="s">
        <v>215</v>
      </c>
      <c r="J140" s="4" t="s">
        <v>31</v>
      </c>
      <c r="K140" s="4" t="s">
        <v>31</v>
      </c>
      <c r="L140" s="4" t="s">
        <v>27</v>
      </c>
      <c r="M140" s="4" t="s">
        <v>27</v>
      </c>
      <c r="N140" s="4" t="s">
        <v>27</v>
      </c>
      <c r="O140" s="4" t="s">
        <v>27</v>
      </c>
      <c r="P140" s="6" t="str">
        <f t="shared" si="2"/>
        <v>待开发</v>
      </c>
      <c r="Q140" s="5" t="s">
        <v>150</v>
      </c>
      <c r="R140" s="5" t="s">
        <v>150</v>
      </c>
      <c r="S140" s="5" t="s">
        <v>150</v>
      </c>
      <c r="T140" s="5" t="s">
        <v>150</v>
      </c>
      <c r="U140" s="5" t="s">
        <v>150</v>
      </c>
      <c r="V140" s="5" t="s">
        <v>150</v>
      </c>
      <c r="W140" s="5" t="s">
        <v>150</v>
      </c>
    </row>
    <row r="141" ht="36" hidden="1" customHeight="1" spans="1:23">
      <c r="A141" s="4" t="s">
        <v>645</v>
      </c>
      <c r="B141" s="13" t="s">
        <v>127</v>
      </c>
      <c r="C141" s="4" t="s">
        <v>128</v>
      </c>
      <c r="D141" s="5" t="s">
        <v>112</v>
      </c>
      <c r="E141" s="5" t="s">
        <v>112</v>
      </c>
      <c r="F141" s="5" t="s">
        <v>646</v>
      </c>
      <c r="G141" s="5" t="s">
        <v>647</v>
      </c>
      <c r="H141" s="4" t="s">
        <v>148</v>
      </c>
      <c r="I141" s="11" t="s">
        <v>215</v>
      </c>
      <c r="J141" s="4" t="s">
        <v>31</v>
      </c>
      <c r="K141" s="4" t="s">
        <v>31</v>
      </c>
      <c r="L141" s="4" t="s">
        <v>27</v>
      </c>
      <c r="M141" s="4" t="s">
        <v>27</v>
      </c>
      <c r="N141" s="4" t="s">
        <v>27</v>
      </c>
      <c r="O141" s="4" t="s">
        <v>27</v>
      </c>
      <c r="P141" s="6" t="str">
        <f t="shared" si="2"/>
        <v>待开发</v>
      </c>
      <c r="Q141" s="5" t="s">
        <v>150</v>
      </c>
      <c r="R141" s="5" t="s">
        <v>150</v>
      </c>
      <c r="S141" s="5" t="s">
        <v>150</v>
      </c>
      <c r="T141" s="5" t="s">
        <v>150</v>
      </c>
      <c r="U141" s="5" t="s">
        <v>150</v>
      </c>
      <c r="V141" s="5" t="s">
        <v>150</v>
      </c>
      <c r="W141" s="5" t="s">
        <v>150</v>
      </c>
    </row>
    <row r="142" ht="36" customHeight="1" spans="1:23">
      <c r="A142" s="4" t="s">
        <v>648</v>
      </c>
      <c r="B142" s="13" t="s">
        <v>127</v>
      </c>
      <c r="C142" s="4" t="s">
        <v>128</v>
      </c>
      <c r="D142" s="5" t="s">
        <v>112</v>
      </c>
      <c r="E142" s="5" t="s">
        <v>112</v>
      </c>
      <c r="F142" s="5" t="s">
        <v>649</v>
      </c>
      <c r="G142" s="5" t="s">
        <v>650</v>
      </c>
      <c r="H142" s="4" t="s">
        <v>638</v>
      </c>
      <c r="I142" s="9" t="s">
        <v>149</v>
      </c>
      <c r="J142" s="4" t="s">
        <v>31</v>
      </c>
      <c r="K142" s="4" t="s">
        <v>31</v>
      </c>
      <c r="L142" s="4" t="s">
        <v>27</v>
      </c>
      <c r="M142" s="4" t="s">
        <v>27</v>
      </c>
      <c r="N142" s="4" t="s">
        <v>27</v>
      </c>
      <c r="O142" s="4" t="s">
        <v>27</v>
      </c>
      <c r="P142" s="6" t="str">
        <f t="shared" si="2"/>
        <v>待开发</v>
      </c>
      <c r="Q142" s="5" t="s">
        <v>150</v>
      </c>
      <c r="R142" s="5" t="s">
        <v>150</v>
      </c>
      <c r="S142" s="5" t="s">
        <v>150</v>
      </c>
      <c r="T142" s="5" t="s">
        <v>150</v>
      </c>
      <c r="U142" s="5" t="s">
        <v>150</v>
      </c>
      <c r="V142" s="5" t="s">
        <v>150</v>
      </c>
      <c r="W142" s="5" t="s">
        <v>150</v>
      </c>
    </row>
    <row r="143" ht="36" customHeight="1" spans="1:23">
      <c r="A143" s="4" t="s">
        <v>651</v>
      </c>
      <c r="B143" s="13" t="s">
        <v>127</v>
      </c>
      <c r="C143" s="4" t="s">
        <v>128</v>
      </c>
      <c r="D143" s="5" t="s">
        <v>112</v>
      </c>
      <c r="E143" s="5" t="s">
        <v>112</v>
      </c>
      <c r="F143" s="5" t="s">
        <v>652</v>
      </c>
      <c r="G143" s="5" t="s">
        <v>653</v>
      </c>
      <c r="H143" s="4" t="s">
        <v>638</v>
      </c>
      <c r="I143" s="9" t="s">
        <v>149</v>
      </c>
      <c r="J143" s="4" t="s">
        <v>31</v>
      </c>
      <c r="K143" s="4" t="s">
        <v>31</v>
      </c>
      <c r="L143" s="4" t="s">
        <v>27</v>
      </c>
      <c r="M143" s="4" t="s">
        <v>27</v>
      </c>
      <c r="N143" s="4" t="s">
        <v>27</v>
      </c>
      <c r="O143" s="4" t="s">
        <v>27</v>
      </c>
      <c r="P143" s="6" t="str">
        <f t="shared" si="2"/>
        <v>待开发</v>
      </c>
      <c r="Q143" s="5" t="s">
        <v>150</v>
      </c>
      <c r="R143" s="5" t="s">
        <v>150</v>
      </c>
      <c r="S143" s="5" t="s">
        <v>150</v>
      </c>
      <c r="T143" s="5" t="s">
        <v>150</v>
      </c>
      <c r="U143" s="5" t="s">
        <v>150</v>
      </c>
      <c r="V143" s="5" t="s">
        <v>150</v>
      </c>
      <c r="W143" s="5" t="s">
        <v>150</v>
      </c>
    </row>
    <row r="144" ht="36" customHeight="1" spans="1:23">
      <c r="A144" s="4" t="s">
        <v>654</v>
      </c>
      <c r="B144" s="13" t="s">
        <v>127</v>
      </c>
      <c r="C144" s="4" t="s">
        <v>128</v>
      </c>
      <c r="D144" s="5" t="s">
        <v>112</v>
      </c>
      <c r="E144" s="5" t="s">
        <v>112</v>
      </c>
      <c r="F144" s="5" t="s">
        <v>655</v>
      </c>
      <c r="G144" s="5" t="s">
        <v>656</v>
      </c>
      <c r="H144" s="4" t="s">
        <v>638</v>
      </c>
      <c r="I144" s="9" t="s">
        <v>149</v>
      </c>
      <c r="J144" s="4" t="s">
        <v>31</v>
      </c>
      <c r="K144" s="4" t="s">
        <v>31</v>
      </c>
      <c r="L144" s="4" t="s">
        <v>27</v>
      </c>
      <c r="M144" s="4" t="s">
        <v>27</v>
      </c>
      <c r="N144" s="4" t="s">
        <v>27</v>
      </c>
      <c r="O144" s="4" t="s">
        <v>27</v>
      </c>
      <c r="P144" s="6" t="str">
        <f t="shared" si="2"/>
        <v>待开发</v>
      </c>
      <c r="Q144" s="5" t="s">
        <v>150</v>
      </c>
      <c r="R144" s="5" t="s">
        <v>150</v>
      </c>
      <c r="S144" s="5" t="s">
        <v>150</v>
      </c>
      <c r="T144" s="5" t="s">
        <v>150</v>
      </c>
      <c r="U144" s="5" t="s">
        <v>150</v>
      </c>
      <c r="V144" s="5" t="s">
        <v>150</v>
      </c>
      <c r="W144" s="5" t="s">
        <v>150</v>
      </c>
    </row>
    <row r="145" ht="36" customHeight="1" spans="1:23">
      <c r="A145" s="4" t="s">
        <v>657</v>
      </c>
      <c r="B145" s="13" t="s">
        <v>127</v>
      </c>
      <c r="C145" s="4" t="s">
        <v>128</v>
      </c>
      <c r="D145" s="5" t="s">
        <v>112</v>
      </c>
      <c r="E145" s="5" t="s">
        <v>112</v>
      </c>
      <c r="F145" s="5" t="s">
        <v>658</v>
      </c>
      <c r="G145" s="5" t="s">
        <v>659</v>
      </c>
      <c r="H145" s="4" t="s">
        <v>638</v>
      </c>
      <c r="I145" s="9" t="s">
        <v>149</v>
      </c>
      <c r="J145" s="4" t="s">
        <v>31</v>
      </c>
      <c r="K145" s="4" t="s">
        <v>31</v>
      </c>
      <c r="L145" s="4" t="s">
        <v>27</v>
      </c>
      <c r="M145" s="4" t="s">
        <v>27</v>
      </c>
      <c r="N145" s="4" t="s">
        <v>27</v>
      </c>
      <c r="O145" s="4" t="s">
        <v>27</v>
      </c>
      <c r="P145" s="6" t="str">
        <f t="shared" si="2"/>
        <v>待开发</v>
      </c>
      <c r="Q145" s="5" t="s">
        <v>150</v>
      </c>
      <c r="R145" s="5" t="s">
        <v>150</v>
      </c>
      <c r="S145" s="5" t="s">
        <v>150</v>
      </c>
      <c r="T145" s="5" t="s">
        <v>150</v>
      </c>
      <c r="U145" s="5" t="s">
        <v>150</v>
      </c>
      <c r="V145" s="5" t="s">
        <v>150</v>
      </c>
      <c r="W145" s="5" t="s">
        <v>150</v>
      </c>
    </row>
    <row r="146" ht="36" hidden="1" customHeight="1" spans="1:23">
      <c r="A146" s="4" t="s">
        <v>660</v>
      </c>
      <c r="B146" s="13" t="s">
        <v>127</v>
      </c>
      <c r="C146" s="4" t="s">
        <v>128</v>
      </c>
      <c r="D146" s="5" t="s">
        <v>112</v>
      </c>
      <c r="E146" s="5" t="s">
        <v>112</v>
      </c>
      <c r="F146" s="5" t="s">
        <v>661</v>
      </c>
      <c r="G146" s="5" t="s">
        <v>662</v>
      </c>
      <c r="H146" s="4" t="s">
        <v>638</v>
      </c>
      <c r="I146" s="11" t="s">
        <v>215</v>
      </c>
      <c r="J146" s="4" t="s">
        <v>31</v>
      </c>
      <c r="K146" s="4" t="s">
        <v>31</v>
      </c>
      <c r="L146" s="4" t="s">
        <v>27</v>
      </c>
      <c r="M146" s="4" t="s">
        <v>27</v>
      </c>
      <c r="N146" s="4" t="s">
        <v>27</v>
      </c>
      <c r="O146" s="4" t="s">
        <v>27</v>
      </c>
      <c r="P146" s="6" t="str">
        <f t="shared" si="2"/>
        <v>待开发</v>
      </c>
      <c r="Q146" s="5" t="s">
        <v>150</v>
      </c>
      <c r="R146" s="5" t="s">
        <v>150</v>
      </c>
      <c r="S146" s="5" t="s">
        <v>150</v>
      </c>
      <c r="T146" s="5" t="s">
        <v>150</v>
      </c>
      <c r="U146" s="5" t="s">
        <v>150</v>
      </c>
      <c r="V146" s="5" t="s">
        <v>150</v>
      </c>
      <c r="W146" s="5" t="s">
        <v>150</v>
      </c>
    </row>
    <row r="147" ht="36" hidden="1" customHeight="1" spans="1:23">
      <c r="A147" s="4" t="s">
        <v>663</v>
      </c>
      <c r="B147" s="13" t="s">
        <v>127</v>
      </c>
      <c r="C147" s="4" t="s">
        <v>128</v>
      </c>
      <c r="D147" s="5" t="s">
        <v>112</v>
      </c>
      <c r="E147" s="5" t="s">
        <v>112</v>
      </c>
      <c r="F147" s="5" t="s">
        <v>664</v>
      </c>
      <c r="G147" s="5" t="s">
        <v>665</v>
      </c>
      <c r="H147" s="4" t="s">
        <v>638</v>
      </c>
      <c r="I147" s="11" t="s">
        <v>215</v>
      </c>
      <c r="J147" s="4" t="s">
        <v>31</v>
      </c>
      <c r="K147" s="4" t="s">
        <v>31</v>
      </c>
      <c r="L147" s="4" t="s">
        <v>27</v>
      </c>
      <c r="M147" s="4" t="s">
        <v>27</v>
      </c>
      <c r="N147" s="4" t="s">
        <v>27</v>
      </c>
      <c r="O147" s="4" t="s">
        <v>27</v>
      </c>
      <c r="P147" s="6" t="str">
        <f t="shared" si="2"/>
        <v>待开发</v>
      </c>
      <c r="Q147" s="5" t="s">
        <v>150</v>
      </c>
      <c r="R147" s="5" t="s">
        <v>150</v>
      </c>
      <c r="S147" s="5" t="s">
        <v>150</v>
      </c>
      <c r="T147" s="5" t="s">
        <v>150</v>
      </c>
      <c r="U147" s="5" t="s">
        <v>150</v>
      </c>
      <c r="V147" s="5" t="s">
        <v>150</v>
      </c>
      <c r="W147" s="5" t="s">
        <v>150</v>
      </c>
    </row>
    <row r="148" ht="36" customHeight="1" spans="1:23">
      <c r="A148" s="4" t="s">
        <v>666</v>
      </c>
      <c r="B148" s="13" t="s">
        <v>127</v>
      </c>
      <c r="C148" s="4" t="s">
        <v>128</v>
      </c>
      <c r="D148" s="5" t="s">
        <v>112</v>
      </c>
      <c r="E148" s="5" t="s">
        <v>112</v>
      </c>
      <c r="F148" s="5" t="s">
        <v>667</v>
      </c>
      <c r="G148" s="5" t="s">
        <v>668</v>
      </c>
      <c r="H148" s="4" t="s">
        <v>638</v>
      </c>
      <c r="I148" s="9" t="s">
        <v>149</v>
      </c>
      <c r="J148" s="4" t="s">
        <v>31</v>
      </c>
      <c r="K148" s="4" t="s">
        <v>31</v>
      </c>
      <c r="L148" s="4" t="s">
        <v>27</v>
      </c>
      <c r="M148" s="4" t="s">
        <v>27</v>
      </c>
      <c r="N148" s="4" t="s">
        <v>27</v>
      </c>
      <c r="O148" s="4" t="s">
        <v>27</v>
      </c>
      <c r="P148" s="6" t="str">
        <f t="shared" si="2"/>
        <v>待开发</v>
      </c>
      <c r="Q148" s="5" t="s">
        <v>150</v>
      </c>
      <c r="R148" s="5" t="s">
        <v>150</v>
      </c>
      <c r="S148" s="5" t="s">
        <v>150</v>
      </c>
      <c r="T148" s="5" t="s">
        <v>150</v>
      </c>
      <c r="U148" s="5" t="s">
        <v>150</v>
      </c>
      <c r="V148" s="5" t="s">
        <v>150</v>
      </c>
      <c r="W148" s="5" t="s">
        <v>150</v>
      </c>
    </row>
    <row r="149" ht="36" customHeight="1" spans="1:23">
      <c r="A149" s="4" t="s">
        <v>669</v>
      </c>
      <c r="B149" s="15" t="s">
        <v>129</v>
      </c>
      <c r="C149" s="4" t="s">
        <v>670</v>
      </c>
      <c r="D149" s="5" t="s">
        <v>113</v>
      </c>
      <c r="E149" s="5" t="s">
        <v>671</v>
      </c>
      <c r="F149" s="5" t="s">
        <v>672</v>
      </c>
      <c r="G149" s="5" t="s">
        <v>673</v>
      </c>
      <c r="H149" s="4" t="s">
        <v>148</v>
      </c>
      <c r="I149" s="9" t="s">
        <v>149</v>
      </c>
      <c r="J149" s="4" t="s">
        <v>35</v>
      </c>
      <c r="K149" s="4" t="s">
        <v>35</v>
      </c>
      <c r="L149" s="4" t="s">
        <v>35</v>
      </c>
      <c r="M149" s="4" t="s">
        <v>27</v>
      </c>
      <c r="N149" s="4" t="s">
        <v>35</v>
      </c>
      <c r="O149" s="4" t="s">
        <v>27</v>
      </c>
      <c r="P149" s="6" t="str">
        <f t="shared" si="2"/>
        <v>待开发</v>
      </c>
      <c r="Q149" s="5" t="s">
        <v>150</v>
      </c>
      <c r="R149" s="5" t="s">
        <v>150</v>
      </c>
      <c r="S149" s="5" t="s">
        <v>150</v>
      </c>
      <c r="T149" s="5" t="s">
        <v>150</v>
      </c>
      <c r="U149" s="5" t="s">
        <v>150</v>
      </c>
      <c r="V149" s="5" t="s">
        <v>150</v>
      </c>
      <c r="W149" s="5" t="s">
        <v>150</v>
      </c>
    </row>
    <row r="150" ht="36" customHeight="1" spans="1:23">
      <c r="A150" s="4" t="s">
        <v>674</v>
      </c>
      <c r="B150" s="15" t="s">
        <v>129</v>
      </c>
      <c r="C150" s="4" t="s">
        <v>670</v>
      </c>
      <c r="D150" s="5" t="s">
        <v>113</v>
      </c>
      <c r="E150" s="5" t="s">
        <v>675</v>
      </c>
      <c r="F150" s="5" t="s">
        <v>676</v>
      </c>
      <c r="G150" s="5" t="s">
        <v>677</v>
      </c>
      <c r="H150" s="4" t="s">
        <v>678</v>
      </c>
      <c r="I150" s="9" t="s">
        <v>149</v>
      </c>
      <c r="J150" s="4" t="s">
        <v>35</v>
      </c>
      <c r="K150" s="4" t="s">
        <v>35</v>
      </c>
      <c r="L150" s="4" t="s">
        <v>35</v>
      </c>
      <c r="M150" s="4" t="s">
        <v>27</v>
      </c>
      <c r="N150" s="4" t="s">
        <v>27</v>
      </c>
      <c r="O150" s="4" t="s">
        <v>27</v>
      </c>
      <c r="P150" s="6" t="str">
        <f t="shared" si="2"/>
        <v>待开发</v>
      </c>
      <c r="Q150" s="5" t="s">
        <v>150</v>
      </c>
      <c r="R150" s="5" t="s">
        <v>150</v>
      </c>
      <c r="S150" s="5" t="s">
        <v>150</v>
      </c>
      <c r="T150" s="5" t="s">
        <v>150</v>
      </c>
      <c r="U150" s="5" t="s">
        <v>150</v>
      </c>
      <c r="V150" s="5" t="s">
        <v>150</v>
      </c>
      <c r="W150" s="5" t="s">
        <v>150</v>
      </c>
    </row>
    <row r="151" ht="36" customHeight="1" spans="1:23">
      <c r="A151" s="4" t="s">
        <v>679</v>
      </c>
      <c r="B151" s="15" t="s">
        <v>129</v>
      </c>
      <c r="C151" s="4" t="s">
        <v>670</v>
      </c>
      <c r="D151" s="5" t="s">
        <v>113</v>
      </c>
      <c r="E151" s="5" t="s">
        <v>680</v>
      </c>
      <c r="F151" s="5" t="s">
        <v>681</v>
      </c>
      <c r="G151" s="5" t="s">
        <v>682</v>
      </c>
      <c r="H151" s="4" t="s">
        <v>148</v>
      </c>
      <c r="I151" s="9" t="s">
        <v>149</v>
      </c>
      <c r="J151" s="4" t="s">
        <v>35</v>
      </c>
      <c r="K151" s="4" t="s">
        <v>35</v>
      </c>
      <c r="L151" s="4" t="s">
        <v>35</v>
      </c>
      <c r="M151" s="4" t="s">
        <v>35</v>
      </c>
      <c r="N151" s="4" t="s">
        <v>35</v>
      </c>
      <c r="O151" s="4" t="s">
        <v>27</v>
      </c>
      <c r="P151" s="6" t="str">
        <f t="shared" si="2"/>
        <v>待开发</v>
      </c>
      <c r="Q151" s="5" t="s">
        <v>150</v>
      </c>
      <c r="R151" s="5" t="s">
        <v>150</v>
      </c>
      <c r="S151" s="5" t="s">
        <v>150</v>
      </c>
      <c r="T151" s="5" t="s">
        <v>150</v>
      </c>
      <c r="U151" s="5" t="s">
        <v>150</v>
      </c>
      <c r="V151" s="5" t="s">
        <v>150</v>
      </c>
      <c r="W151" s="5" t="s">
        <v>150</v>
      </c>
    </row>
    <row r="152" ht="36" hidden="1" customHeight="1" spans="1:23">
      <c r="A152" s="4" t="s">
        <v>683</v>
      </c>
      <c r="B152" s="15" t="s">
        <v>129</v>
      </c>
      <c r="C152" s="4" t="s">
        <v>684</v>
      </c>
      <c r="D152" s="5" t="s">
        <v>113</v>
      </c>
      <c r="E152" s="5" t="s">
        <v>685</v>
      </c>
      <c r="F152" s="5" t="s">
        <v>686</v>
      </c>
      <c r="G152" s="5" t="s">
        <v>687</v>
      </c>
      <c r="H152" s="4" t="s">
        <v>148</v>
      </c>
      <c r="I152" s="11" t="s">
        <v>215</v>
      </c>
      <c r="J152" s="4" t="s">
        <v>35</v>
      </c>
      <c r="K152" s="4" t="s">
        <v>35</v>
      </c>
      <c r="L152" s="4" t="s">
        <v>35</v>
      </c>
      <c r="M152" s="4" t="s">
        <v>35</v>
      </c>
      <c r="N152" s="4" t="s">
        <v>35</v>
      </c>
      <c r="O152" s="4" t="s">
        <v>27</v>
      </c>
      <c r="P152" s="6" t="str">
        <f t="shared" si="2"/>
        <v>待开发</v>
      </c>
      <c r="Q152" s="5" t="s">
        <v>150</v>
      </c>
      <c r="R152" s="5" t="s">
        <v>150</v>
      </c>
      <c r="S152" s="5" t="s">
        <v>150</v>
      </c>
      <c r="T152" s="5" t="s">
        <v>150</v>
      </c>
      <c r="U152" s="5" t="s">
        <v>150</v>
      </c>
      <c r="V152" s="5" t="s">
        <v>150</v>
      </c>
      <c r="W152" s="5" t="s">
        <v>150</v>
      </c>
    </row>
    <row r="153" ht="36" customHeight="1" spans="1:23">
      <c r="A153" s="4" t="s">
        <v>688</v>
      </c>
      <c r="B153" s="15" t="s">
        <v>129</v>
      </c>
      <c r="C153" s="4" t="s">
        <v>684</v>
      </c>
      <c r="D153" s="5" t="s">
        <v>113</v>
      </c>
      <c r="E153" s="5" t="s">
        <v>689</v>
      </c>
      <c r="F153" s="5" t="s">
        <v>690</v>
      </c>
      <c r="G153" s="5" t="s">
        <v>691</v>
      </c>
      <c r="H153" s="4" t="s">
        <v>148</v>
      </c>
      <c r="I153" s="9" t="s">
        <v>149</v>
      </c>
      <c r="J153" s="4" t="s">
        <v>35</v>
      </c>
      <c r="K153" s="4" t="s">
        <v>35</v>
      </c>
      <c r="L153" s="4" t="s">
        <v>35</v>
      </c>
      <c r="M153" s="4" t="s">
        <v>27</v>
      </c>
      <c r="N153" s="4" t="s">
        <v>35</v>
      </c>
      <c r="O153" s="4" t="s">
        <v>27</v>
      </c>
      <c r="P153" s="6" t="str">
        <f t="shared" si="2"/>
        <v>待开发</v>
      </c>
      <c r="Q153" s="5" t="s">
        <v>150</v>
      </c>
      <c r="R153" s="5" t="s">
        <v>150</v>
      </c>
      <c r="S153" s="5" t="s">
        <v>150</v>
      </c>
      <c r="T153" s="5" t="s">
        <v>150</v>
      </c>
      <c r="U153" s="5" t="s">
        <v>150</v>
      </c>
      <c r="V153" s="5" t="s">
        <v>150</v>
      </c>
      <c r="W153" s="5" t="s">
        <v>150</v>
      </c>
    </row>
    <row r="154" ht="36" customHeight="1" spans="1:23">
      <c r="A154" s="4" t="s">
        <v>692</v>
      </c>
      <c r="B154" s="15" t="s">
        <v>129</v>
      </c>
      <c r="C154" s="4" t="s">
        <v>693</v>
      </c>
      <c r="D154" s="5" t="s">
        <v>113</v>
      </c>
      <c r="E154" s="5" t="s">
        <v>680</v>
      </c>
      <c r="F154" s="5" t="s">
        <v>694</v>
      </c>
      <c r="G154" s="5" t="s">
        <v>695</v>
      </c>
      <c r="H154" s="4" t="s">
        <v>148</v>
      </c>
      <c r="I154" s="9" t="s">
        <v>149</v>
      </c>
      <c r="J154" s="4" t="s">
        <v>35</v>
      </c>
      <c r="K154" s="4" t="s">
        <v>35</v>
      </c>
      <c r="L154" s="4" t="s">
        <v>35</v>
      </c>
      <c r="M154" s="4" t="s">
        <v>35</v>
      </c>
      <c r="N154" s="4" t="s">
        <v>35</v>
      </c>
      <c r="O154" s="4" t="s">
        <v>27</v>
      </c>
      <c r="P154" s="6" t="str">
        <f t="shared" si="2"/>
        <v>待开发</v>
      </c>
      <c r="Q154" s="5" t="s">
        <v>150</v>
      </c>
      <c r="R154" s="5" t="s">
        <v>150</v>
      </c>
      <c r="S154" s="5" t="s">
        <v>150</v>
      </c>
      <c r="T154" s="5" t="s">
        <v>150</v>
      </c>
      <c r="U154" s="5" t="s">
        <v>150</v>
      </c>
      <c r="V154" s="5" t="s">
        <v>150</v>
      </c>
      <c r="W154" s="5" t="s">
        <v>150</v>
      </c>
    </row>
  </sheetData>
  <conditionalFormatting sqref="P2:P154">
    <cfRule type="expression" dxfId="0" priority="6">
      <formula>P2="待开发"</formula>
    </cfRule>
    <cfRule type="expression" dxfId="1" priority="7">
      <formula>P2="开发中"</formula>
    </cfRule>
    <cfRule type="expression" dxfId="2" priority="8">
      <formula>P2="对接中"</formula>
    </cfRule>
    <cfRule type="expression" dxfId="3" priority="9">
      <formula>P2="测试中"</formula>
    </cfRule>
    <cfRule type="expression" dxfId="4" priority="10">
      <formula>P2="已完成"</formula>
    </cfRule>
    <cfRule type="expression" dxfId="5" priority="11">
      <formula>P2="阻塞"</formula>
    </cfRule>
    <cfRule type="expression" dxfId="6" priority="12">
      <formula>P2="未开始"</formula>
    </cfRule>
    <cfRule type="expression" dxfId="7" priority="13">
      <formula>P2="原型中"</formula>
    </cfRule>
    <cfRule type="expression" dxfId="7" priority="14">
      <formula>P2="UI设计中"</formula>
    </cfRule>
    <cfRule type="expression" dxfId="8" priority="15">
      <formula>P2="不适用"</formula>
    </cfRule>
  </conditionalFormatting>
  <conditionalFormatting sqref="J2:O154">
    <cfRule type="expression" dxfId="4" priority="1">
      <formula>J2="已完成"</formula>
    </cfRule>
    <cfRule type="expression" dxfId="1" priority="2">
      <formula>J2="进行中"</formula>
    </cfRule>
    <cfRule type="expression" dxfId="6" priority="3">
      <formula>J2="未开始"</formula>
    </cfRule>
    <cfRule type="expression" dxfId="5" priority="4">
      <formula>J2="阻塞"</formula>
    </cfRule>
    <cfRule type="expression" dxfId="8" priority="5">
      <formula>J2="不适用"</formula>
    </cfRule>
  </conditionalFormatting>
  <dataValidations count="3">
    <dataValidation type="list" sqref="B2:B154">
      <formula1>"启动,第一批,第二批,第三批,第四批,第五批"</formula1>
    </dataValidation>
    <dataValidation type="list" sqref="I2:I154">
      <formula1>"P0,P1,P2"</formula1>
    </dataValidation>
    <dataValidation type="list" errorTitle="无效状态" error="请从下拉选择状态" promptTitle="进度状态" prompt="未开始 / 进行中 / 已完成 / 阻塞 / 不适用" sqref="J2:O154">
      <formula1>"未开始,进行中,已完成,阻塞,不适用"</formula1>
    </dataValidation>
  </dataValidations>
  <pageMargins left="0.75" right="0.75" top="1" bottom="1" header="0.5" footer="0.5"/>
  <pageSetup paperSize="8" fitToHeight="0" orientation="landscape"/>
  <headerFooter>
    <oddHeader>&amp;LWMS 能力明细</oddHeader>
    <oddFooter>&amp;R第 &amp;P 页 / 共 &amp;N 页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7A12"/>
  </sheetPr>
  <dimension ref="A1:F25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14" customWidth="1"/>
    <col min="2" max="2" width="16" customWidth="1"/>
    <col min="3" max="3" width="36" customWidth="1"/>
    <col min="4" max="4" width="32" customWidth="1"/>
    <col min="5" max="5" width="12" customWidth="1"/>
    <col min="6" max="6" width="62" customWidth="1"/>
  </cols>
  <sheetData>
    <row r="1" ht="36" customHeight="1" spans="1:6">
      <c r="A1" s="1" t="s">
        <v>696</v>
      </c>
      <c r="B1" s="2"/>
      <c r="C1" s="2"/>
      <c r="D1" s="2"/>
      <c r="E1" s="2"/>
      <c r="F1" s="2"/>
    </row>
    <row r="3" ht="15" spans="1:6">
      <c r="A3" s="3" t="s">
        <v>697</v>
      </c>
      <c r="B3" s="3" t="s">
        <v>698</v>
      </c>
      <c r="C3" s="3" t="s">
        <v>699</v>
      </c>
      <c r="D3" s="3" t="s">
        <v>700</v>
      </c>
      <c r="E3" s="3" t="s">
        <v>701</v>
      </c>
      <c r="F3" s="3" t="s">
        <v>702</v>
      </c>
    </row>
    <row r="4" ht="28" customHeight="1" spans="1:6">
      <c r="A4" s="4" t="s">
        <v>703</v>
      </c>
      <c r="B4" s="4" t="s">
        <v>704</v>
      </c>
      <c r="C4" s="5" t="s">
        <v>112</v>
      </c>
      <c r="D4" s="5" t="s">
        <v>112</v>
      </c>
      <c r="E4" s="6">
        <f>COUNTIF(能力明细!D$2:D$154,"可视化驾驶舱")</f>
        <v>11</v>
      </c>
      <c r="F4" s="5" t="s">
        <v>705</v>
      </c>
    </row>
    <row r="5" ht="28" customHeight="1" spans="1:6">
      <c r="A5" s="4" t="s">
        <v>706</v>
      </c>
      <c r="B5" s="4" t="s">
        <v>707</v>
      </c>
      <c r="C5" s="5" t="s">
        <v>83</v>
      </c>
      <c r="D5" s="5" t="s">
        <v>83</v>
      </c>
      <c r="E5" s="6">
        <f>COUNTIF(能力明细!D$2:D$154,"仓库管理")</f>
        <v>3</v>
      </c>
      <c r="F5" s="5" t="s">
        <v>708</v>
      </c>
    </row>
    <row r="6" ht="28" customHeight="1" spans="1:6">
      <c r="A6" s="4" t="s">
        <v>706</v>
      </c>
      <c r="B6" s="4" t="s">
        <v>709</v>
      </c>
      <c r="C6" s="5" t="s">
        <v>85</v>
      </c>
      <c r="D6" s="5" t="s">
        <v>85</v>
      </c>
      <c r="E6" s="6">
        <f>COUNTIF(能力明细!D$2:D$154,"堆位管理")</f>
        <v>7</v>
      </c>
      <c r="F6" s="5" t="s">
        <v>710</v>
      </c>
    </row>
    <row r="7" ht="28" customHeight="1" spans="1:6">
      <c r="A7" s="4" t="s">
        <v>706</v>
      </c>
      <c r="B7" s="4" t="s">
        <v>711</v>
      </c>
      <c r="C7" s="5" t="s">
        <v>257</v>
      </c>
      <c r="D7" s="5" t="s">
        <v>712</v>
      </c>
      <c r="E7" s="6">
        <f>COUNTIF(能力明细!D$2:D$154,"物料档案")+COUNTIF(能力明细!D$2:D$154,"矿源备案")</f>
        <v>14</v>
      </c>
      <c r="F7" s="5" t="s">
        <v>713</v>
      </c>
    </row>
    <row r="8" ht="28" customHeight="1" spans="1:6">
      <c r="A8" s="4" t="s">
        <v>706</v>
      </c>
      <c r="B8" s="4" t="s">
        <v>714</v>
      </c>
      <c r="C8" s="5" t="s">
        <v>91</v>
      </c>
      <c r="D8" s="5" t="s">
        <v>91</v>
      </c>
      <c r="E8" s="6">
        <f>COUNTIF(能力明细!D$2:D$154,"往来主体")</f>
        <v>3</v>
      </c>
      <c r="F8" s="5" t="s">
        <v>300</v>
      </c>
    </row>
    <row r="9" ht="28" customHeight="1" spans="1:6">
      <c r="A9" s="4" t="s">
        <v>706</v>
      </c>
      <c r="B9" s="4" t="s">
        <v>715</v>
      </c>
      <c r="C9" s="5" t="s">
        <v>93</v>
      </c>
      <c r="D9" s="5" t="s">
        <v>93</v>
      </c>
      <c r="E9" s="6">
        <f>COUNTIF(能力明细!D$2:D$154,"保税账册")</f>
        <v>6</v>
      </c>
      <c r="F9" s="5" t="s">
        <v>312</v>
      </c>
    </row>
    <row r="10" ht="28" customHeight="1" spans="1:6">
      <c r="A10" s="4" t="s">
        <v>706</v>
      </c>
      <c r="B10" s="4" t="s">
        <v>716</v>
      </c>
      <c r="C10" s="5" t="s">
        <v>717</v>
      </c>
      <c r="D10" s="5" t="s">
        <v>718</v>
      </c>
      <c r="E10" s="6">
        <f>COUNTIF(能力明细!D$2:D$154,"系统设置")+COUNTIF(能力明细!D$2:D$154,"平面图设置")</f>
        <v>15</v>
      </c>
      <c r="F10" s="5" t="s">
        <v>719</v>
      </c>
    </row>
    <row r="11" ht="28" customHeight="1" spans="1:6">
      <c r="A11" s="4" t="s">
        <v>720</v>
      </c>
      <c r="B11" s="4" t="s">
        <v>721</v>
      </c>
      <c r="C11" s="5" t="s">
        <v>101</v>
      </c>
      <c r="D11" s="5" t="s">
        <v>101</v>
      </c>
      <c r="E11" s="6">
        <f>COUNTIF(能力明细!D$2:D$154,"入库管理")</f>
        <v>13</v>
      </c>
      <c r="F11" s="5" t="s">
        <v>722</v>
      </c>
    </row>
    <row r="12" ht="28" customHeight="1" spans="1:6">
      <c r="A12" s="4" t="s">
        <v>720</v>
      </c>
      <c r="B12" s="4" t="s">
        <v>723</v>
      </c>
      <c r="C12" s="5" t="s">
        <v>102</v>
      </c>
      <c r="D12" s="5" t="s">
        <v>102</v>
      </c>
      <c r="E12" s="6">
        <f>COUNTIF(能力明细!D$2:D$154,"库内移库")</f>
        <v>8</v>
      </c>
      <c r="F12" s="5" t="s">
        <v>724</v>
      </c>
    </row>
    <row r="13" ht="28" customHeight="1" spans="1:6">
      <c r="A13" s="4" t="s">
        <v>720</v>
      </c>
      <c r="B13" s="4" t="s">
        <v>725</v>
      </c>
      <c r="C13" s="5" t="s">
        <v>103</v>
      </c>
      <c r="D13" s="5" t="s">
        <v>103</v>
      </c>
      <c r="E13" s="6">
        <f>COUNTIF(能力明细!D$2:D$154,"库存查询")</f>
        <v>7</v>
      </c>
      <c r="F13" s="5" t="s">
        <v>726</v>
      </c>
    </row>
    <row r="14" ht="28" customHeight="1" spans="1:6">
      <c r="A14" s="4" t="s">
        <v>720</v>
      </c>
      <c r="B14" s="4" t="s">
        <v>727</v>
      </c>
      <c r="C14" s="5" t="s">
        <v>104</v>
      </c>
      <c r="D14" s="5" t="s">
        <v>104</v>
      </c>
      <c r="E14" s="6">
        <f>COUNTIF(能力明细!D$2:D$154,"盘点管理")</f>
        <v>3</v>
      </c>
      <c r="F14" s="5" t="s">
        <v>728</v>
      </c>
    </row>
    <row r="15" ht="28" customHeight="1" spans="1:6">
      <c r="A15" s="4" t="s">
        <v>720</v>
      </c>
      <c r="B15" s="4" t="s">
        <v>729</v>
      </c>
      <c r="C15" s="5" t="s">
        <v>105</v>
      </c>
      <c r="D15" s="5" t="s">
        <v>105</v>
      </c>
      <c r="E15" s="6">
        <f>COUNTIF(能力明细!D$2:D$154,"库存预警")</f>
        <v>4</v>
      </c>
      <c r="F15" s="5" t="s">
        <v>288</v>
      </c>
    </row>
    <row r="16" ht="28" customHeight="1" spans="1:6">
      <c r="A16" s="4" t="s">
        <v>720</v>
      </c>
      <c r="B16" s="4" t="s">
        <v>730</v>
      </c>
      <c r="C16" s="5" t="s">
        <v>106</v>
      </c>
      <c r="D16" s="5" t="s">
        <v>106</v>
      </c>
      <c r="E16" s="6">
        <f>COUNTIF(能力明细!D$2:D$154,"出库管理")</f>
        <v>7</v>
      </c>
      <c r="F16" s="5" t="s">
        <v>731</v>
      </c>
    </row>
    <row r="17" ht="28" customHeight="1" spans="1:6">
      <c r="A17" s="4" t="s">
        <v>732</v>
      </c>
      <c r="B17" s="4" t="s">
        <v>733</v>
      </c>
      <c r="C17" s="5" t="s">
        <v>525</v>
      </c>
      <c r="D17" s="5" t="s">
        <v>107</v>
      </c>
      <c r="E17" s="6">
        <f>COUNTIF(能力明细!D$2:D$154,"生产完工")</f>
        <v>8</v>
      </c>
      <c r="F17" s="5" t="s">
        <v>734</v>
      </c>
    </row>
    <row r="18" ht="28" customHeight="1" spans="1:6">
      <c r="A18" s="4" t="s">
        <v>732</v>
      </c>
      <c r="B18" s="4" t="s">
        <v>735</v>
      </c>
      <c r="C18" s="5" t="s">
        <v>108</v>
      </c>
      <c r="D18" s="5" t="s">
        <v>108</v>
      </c>
      <c r="E18" s="6">
        <f>COUNTIF(能力明细!D$2:D$154,"关务保税")</f>
        <v>6</v>
      </c>
      <c r="F18" s="5" t="s">
        <v>555</v>
      </c>
    </row>
    <row r="19" ht="28" customHeight="1" spans="1:6">
      <c r="A19" s="4" t="s">
        <v>732</v>
      </c>
      <c r="B19" s="4" t="s">
        <v>736</v>
      </c>
      <c r="C19" s="5" t="s">
        <v>109</v>
      </c>
      <c r="D19" s="5" t="s">
        <v>109</v>
      </c>
      <c r="E19" s="6">
        <f>COUNTIF(能力明细!D$2:D$154,"OCR识别")</f>
        <v>7</v>
      </c>
      <c r="F19" s="5" t="s">
        <v>406</v>
      </c>
    </row>
    <row r="20" ht="28" customHeight="1" spans="1:6">
      <c r="A20" s="4" t="s">
        <v>737</v>
      </c>
      <c r="B20" s="4" t="s">
        <v>738</v>
      </c>
      <c r="C20" s="5" t="s">
        <v>110</v>
      </c>
      <c r="D20" s="5" t="s">
        <v>110</v>
      </c>
      <c r="E20" s="6">
        <f>COUNTIF(能力明细!D$2:D$154,"对外对接")</f>
        <v>7</v>
      </c>
      <c r="F20" s="5" t="s">
        <v>600</v>
      </c>
    </row>
    <row r="21" ht="28" customHeight="1" spans="1:6">
      <c r="A21" s="4" t="s">
        <v>737</v>
      </c>
      <c r="B21" s="4" t="s">
        <v>739</v>
      </c>
      <c r="C21" s="5" t="s">
        <v>111</v>
      </c>
      <c r="D21" s="5" t="s">
        <v>111</v>
      </c>
      <c r="E21" s="6">
        <f>COUNTIF(能力明细!D$2:D$154,"操作日志")</f>
        <v>3</v>
      </c>
      <c r="F21" s="5" t="s">
        <v>188</v>
      </c>
    </row>
    <row r="22" ht="28" customHeight="1" spans="1:6">
      <c r="A22" s="4" t="s">
        <v>148</v>
      </c>
      <c r="B22" s="4" t="s">
        <v>740</v>
      </c>
      <c r="C22" s="5" t="s">
        <v>741</v>
      </c>
      <c r="D22" s="5" t="s">
        <v>82</v>
      </c>
      <c r="E22" s="6">
        <f>COUNTIFS(能力明细!D$2:D$154,"公共框架",能力明细!E$2:E$154,"&lt;&gt;工程")</f>
        <v>11</v>
      </c>
      <c r="F22" s="5" t="s">
        <v>158</v>
      </c>
    </row>
    <row r="23" ht="28" customHeight="1" spans="1:6">
      <c r="A23" s="4" t="s">
        <v>148</v>
      </c>
      <c r="B23" s="4" t="s">
        <v>148</v>
      </c>
      <c r="C23" s="5" t="s">
        <v>742</v>
      </c>
      <c r="D23" s="5" t="s">
        <v>743</v>
      </c>
      <c r="E23" s="6">
        <f>COUNTIF(能力明细!D$2:D$154,"部署交付")+COUNTIFS(能力明细!D$2:D$154,"公共框架",能力明细!E$2:E$154,"工程")</f>
        <v>10</v>
      </c>
      <c r="F23" s="5" t="s">
        <v>744</v>
      </c>
    </row>
    <row r="25" ht="14.25" spans="1:6">
      <c r="A25" s="7" t="s">
        <v>745</v>
      </c>
    </row>
  </sheetData>
  <mergeCells count="2">
    <mergeCell ref="A1:F1"/>
    <mergeCell ref="A25:F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进度总览</vt:lpstr>
      <vt:lpstr>能力明细</vt:lpstr>
      <vt:lpstr>页面对照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WMS 系统能力跟踪表</dc:title>
  <dc:creator>WMS 能力跟踪</dc:creator>
  <dc:description>细分系统能力，跟踪原型、UI、前后端开发、对接与测试进度</dc:description>
  <cp:lastModifiedBy>小五 17612344325</cp:lastModifiedBy>
  <dcterms:created xsi:type="dcterms:W3CDTF">2026-09-21T09:48:00Z</dcterms:created>
  <dcterms:modified xsi:type="dcterms:W3CDTF">2026-09-21T09:53:16Z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229DB358275B416BB40CC5D0461C0EFB_12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