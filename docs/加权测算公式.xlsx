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1394\Desktop\"/>
    </mc:Choice>
  </mc:AlternateContent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<sst xmlns="http://schemas.openxmlformats.org/spreadsheetml/2006/main" count="19" uniqueCount="19">
  <si>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51批</t>
  </si>
  <si>
    <t>序号</t>
  </si>
  <si>
    <t>船名</t>
  </si>
  <si>
    <t>提单号</t>
  </si>
  <si>
    <t>湿重</t>
  </si>
  <si>
    <t>干重</t>
  </si>
  <si>
    <t>水分</t>
  </si>
  <si>
    <t>Cu</t>
  </si>
  <si>
    <t>Au</t>
  </si>
  <si>
    <t>Ag</t>
  </si>
  <si>
    <t>As
3%</t>
  </si>
  <si>
    <t>F
0.3%</t>
  </si>
  <si>
    <t>Pb
12%</t>
  </si>
  <si>
    <t>Cd
0.1%</t>
  </si>
  <si>
    <t>Hg
0.02%</t>
  </si>
  <si>
    <t>矿种一</t>
  </si>
  <si>
    <t>矿种二</t>
  </si>
  <si>
    <t>矿种三</t>
  </si>
  <si>
    <t>加权测算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</si>
</sst>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  <numFmt numFmtId="177" formatCode="#,##0.000_ ;[Red]\-#,##0.000\ "/>
    <numFmt numFmtId="178" formatCode="0.00_);[Red]\(0.00\)"/>
    <numFmt numFmtId="179" formatCode="0.000_);[Red]\(0.000\)"/>
    <numFmt numFmtId="180" formatCode="0.000000_);[Red]\(0.000000\)"/>
    <numFmt numFmtId="181" formatCode="0.00_ "/>
    <numFmt numFmtId="182" formatCode="0.000_ "/>
    <numFmt numFmtId="183" formatCode="0.0000_ "/>
    <numFmt numFmtId="184" formatCode="0.000000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79" fontId="1" fillId="0" borderId="4" xfId="0" applyNumberFormat="1" applyFont="1" applyFill="1" applyBorder="1" applyAlignment="1">
      <alignment horizontal="center" vertical="center"/>
    </xf>
    <xf numFmtId="180" fontId="1" fillId="0" borderId="4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184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selection activeCell="H11" sqref="H11"/>
    </sheetView>
  </sheetViews>
  <sheetFormatPr defaultColWidth="9.02654867256637" defaultRowHeight="13.5" outlineLevelRow="5"/>
  <cols>
    <col min="2" max="2" width="24.6194690265487" customWidth="1"/>
    <col min="3" max="3" width="16.1946902654867" customWidth="1"/>
    <col min="4" max="4" width="11.8672566371681" customWidth="1"/>
    <col min="5" max="5" width="11.2743362831858" customWidth="1"/>
    <col min="6" max="6" width="12.7964601769912"/>
    <col min="13" max="13" width="9.53097345132743"/>
    <col min="14" max="14" width="11.7256637168142"/>
  </cols>
  <sheetData>
    <row r="1" ht="49" customHeight="1" spans="1:14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7" spans="1:14">
      <c r="A2" s="2" t="s">
        <v>1</v>
      </c>
      <c r="B2" s="3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>
      <c r="A3" s="2">
        <v>1</v>
      </c>
      <c r="B3" s="6" t="s">
        <v>15</v>
      </c>
      <c r="C3" s="7"/>
      <c r="D3" s="8">
        <v>11940.84</v>
      </c>
      <c r="E3" s="9">
        <v>11365.505</v>
      </c>
      <c r="F3" s="10">
        <v>0.0482</v>
      </c>
      <c r="G3" s="11">
        <v>15.21</v>
      </c>
      <c r="H3" s="11">
        <v>3.72</v>
      </c>
      <c r="I3" s="11">
        <v>9.7</v>
      </c>
      <c r="J3" s="12">
        <v>0.83</v>
      </c>
      <c r="K3" s="12">
        <v>0.012</v>
      </c>
      <c r="L3" s="12">
        <v>0.027</v>
      </c>
      <c r="M3" s="12">
        <v>0.001</v>
      </c>
      <c r="N3" s="13">
        <v>0.000221</v>
      </c>
    </row>
    <row r="4" spans="1:14">
      <c r="A4" s="2">
        <v>2</v>
      </c>
      <c r="B4" s="6" t="s">
        <v>16</v>
      </c>
      <c r="C4" s="7"/>
      <c r="D4" s="8">
        <v>7616.27</v>
      </c>
      <c r="E4" s="9">
        <v>6953.102</v>
      </c>
      <c r="F4" s="10">
        <v>0.087</v>
      </c>
      <c r="G4" s="11">
        <v>29.91</v>
      </c>
      <c r="H4" s="11">
        <v>1.42</v>
      </c>
      <c r="I4" s="11">
        <v>128.5</v>
      </c>
      <c r="J4" s="12">
        <v>0.021</v>
      </c>
      <c r="K4" s="12">
        <v>0.014</v>
      </c>
      <c r="L4" s="12">
        <v>0.001</v>
      </c>
      <c r="M4" s="12">
        <v>0.002</v>
      </c>
      <c r="N4" s="13">
        <v>2.7e-5</v>
      </c>
    </row>
    <row r="5" spans="1:14">
      <c r="A5" s="2">
        <v>3</v>
      </c>
      <c r="B5" s="6" t="s">
        <v>17</v>
      </c>
      <c r="C5" s="7"/>
      <c r="D5" s="8">
        <v>4000</v>
      </c>
      <c r="E5" s="9">
        <v>3696</v>
      </c>
      <c r="F5" s="10">
        <v>0.076</v>
      </c>
      <c r="G5" s="11">
        <v>25.32</v>
      </c>
      <c r="H5" s="11">
        <v>0.13</v>
      </c>
      <c r="I5" s="11">
        <v>80</v>
      </c>
      <c r="J5" s="12">
        <v>0.0005</v>
      </c>
      <c r="K5" s="12">
        <v>0.014</v>
      </c>
      <c r="L5" s="12">
        <v>0.002</v>
      </c>
      <c r="M5" s="12">
        <v>0.003</v>
      </c>
      <c r="N5" s="13">
        <v>1.5e-5</v>
      </c>
    </row>
    <row r="6" spans="1:14">
      <c r="A6" s="2"/>
      <c r="B6" s="14" t="s">
        <v>18</v>
      </c>
      <c r="C6" s="15"/>
      <c r="D6" s="16">
        <f>SUM(D3:D5)</f>
        <v>23557.11</v>
      </c>
      <c r="E6" s="16">
        <f>SUM(E3:E5)</f>
        <v>22014.607</v>
      </c>
      <c r="F6" s="17">
        <f>1-E6/D6</f>
        <v>0.0654792969086616</v>
      </c>
      <c r="G6" s="18" cm="1">
        <f t="array" ref="G6">SUMPRODUCT($E3:$E5,G3:G5)/SUM($E3:$E5)</f>
        <v>21.5502067272879</v>
      </c>
      <c r="H6" s="18" cm="1">
        <f t="array" ref="H6">SUMPRODUCT($E3:$E5,H3:H5)/SUM($E3:$E5)</f>
        <v>2.3908472878939</v>
      </c>
      <c r="I6" s="18" cm="1">
        <f t="array" ref="I6">SUMPRODUCT($E3:$E5,I3:I5)/SUM($E3:$E5)</f>
        <v>59.0244016393297</v>
      </c>
      <c r="J6" s="19" cm="1">
        <f t="array" ref="J6">SUMPRODUCT($E3:$E5,J3:J5)/SUM($E3:$E5)</f>
        <v>0.4352215913734</v>
      </c>
      <c r="K6" s="19" cm="1">
        <f t="array" ref="K6">SUMPRODUCT($E3:$E5,K3:K5)/SUM($E3:$E5)</f>
        <v>0.0129674578337919</v>
      </c>
      <c r="L6" s="19" cm="1">
        <f t="array" ref="L6">SUMPRODUCT($E3:$E5,L3:L5)/SUM($E3:$E5)</f>
        <v>0.0145909366903529</v>
      </c>
      <c r="M6" s="20" cm="1">
        <f t="array" ref="M6">SUMPRODUCT($E3:$E5,M3:M5)/SUM($E3:$E5)</f>
        <v>0.00165161744654356</v>
      </c>
      <c r="N6" s="21" cm="1">
        <f t="array" ref="N6">SUMPRODUCT($E3:$E5,N3:N5)/SUM($E3:$E5)</f>
        <v>0.000125141927766414</v>
      </c>
    </row>
  </sheetData>
  <mergeCells count="2">
    <mergeCell ref="B1:N1"/>
    <mergeCell ref="B6:C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11394</dc:creator>
  <cp:lastModifiedBy>车辙与足迹</cp:lastModifiedBy>
  <dcterms:created xsi:type="dcterms:W3CDTF">2026-09-11T03:12:00Z</dcterms:created>
  <dcterms:modified xsi:type="dcterms:W3CDTF">2026-09-24T06:44:24Z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C4916EF5D6B2493E89358C9FCFA73B18_13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